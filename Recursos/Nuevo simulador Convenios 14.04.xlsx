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YUF YUNIS\Desktop\"/>
    </mc:Choice>
  </mc:AlternateContent>
  <xr:revisionPtr revIDLastSave="0" documentId="8_{55B2F54C-FA3D-4C2C-8F65-F37C4D862365}" xr6:coauthVersionLast="47" xr6:coauthVersionMax="47" xr10:uidLastSave="{00000000-0000-0000-0000-000000000000}"/>
  <workbookProtection workbookAlgorithmName="SHA-512" workbookHashValue="Chjb0x6aaVo9gpmP2c08EjJRxXdpTovIb6Z7fuwPwrjXbgx90w9mXIvrSmw/Flku+mf5XebhbALyTcvKDXun8w==" workbookSaltValue="XcFHcfXnrAv+TRCxRgnLfw==" workbookSpinCount="100000" lockStructure="1"/>
  <bookViews>
    <workbookView xWindow="-108" yWindow="-108" windowWidth="23256" windowHeight="12456" firstSheet="2" activeTab="2" xr2:uid="{14853C3E-07FD-4C4A-86F3-62F51240E739}"/>
  </bookViews>
  <sheets>
    <sheet name="Base" sheetId="4" state="hidden" r:id="rId1"/>
    <sheet name="Cargos" sheetId="5" state="hidden" r:id="rId2"/>
    <sheet name="Cáratula" sheetId="3" r:id="rId3"/>
    <sheet name="Cronograma" sheetId="1" r:id="rId4"/>
  </sheets>
  <definedNames>
    <definedName name="_xlnm.Print_Area" localSheetId="2">Cáratula!$A$1:$AG$70</definedName>
    <definedName name="_xlnm.Print_Area" localSheetId="3">Cronograma!$A$1:$Q$101</definedName>
    <definedName name="DIRIS_Lima_Centro">Cargos!$AB:$AB</definedName>
    <definedName name="DIRIS_Lima_Norte">Cargos!$P:$P</definedName>
    <definedName name="Ejercito">Cargos!#REF!</definedName>
    <definedName name="Ejercito_del_Peru">Cargos!#REF!</definedName>
    <definedName name="Ejercito_del_Perú">Cargos!#REF!</definedName>
    <definedName name="Ejército_del_Perú">Cargos!$A:$A</definedName>
    <definedName name="EPSEL">Cargos!$AJ:$AJ</definedName>
    <definedName name="ESSALUD">Cargos!$T:$T</definedName>
    <definedName name="Fuerza_Aerea_del_Perú">Cargos!$AH:$AH</definedName>
    <definedName name="Gobierno_Regional_Loreto">Cargos!$AT:$AT</definedName>
    <definedName name="Hospital_de_apoyo_Iquitos">Cargos!$R:$R</definedName>
    <definedName name="Hospital_Regional_Loreto">Cargos!$AN:$AN</definedName>
    <definedName name="Marina">Cargos!#REF!</definedName>
    <definedName name="Marina_de_Guerra">Cargos!$J$1:$J$16</definedName>
    <definedName name="Ministerio_Defensa">Cargos!$AD:$AD</definedName>
    <definedName name="ONPE">Cargos!$X:$X</definedName>
    <definedName name="Policia">Cargos!#REF!</definedName>
    <definedName name="Policia_Nacional_del_Perú">Cargos!$E:$E</definedName>
    <definedName name="Red_Salud_APLAO">Cargos!$AP:$AP</definedName>
    <definedName name="RENIEC">Cargos!$N:$N</definedName>
    <definedName name="SENASA">Cargos!$V:$V</definedName>
    <definedName name="U_San_Juan_Bautista">Cargos!$Z:$Z</definedName>
    <definedName name="UE403_Morropon">Cargos!$AF:$AF</definedName>
    <definedName name="UNAP">Cargos!$AL:$AL</definedName>
    <definedName name="UTES_N6">Cargos!$AR:$AR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" i="3" l="1"/>
  <c r="K60" i="3" s="1"/>
  <c r="M20" i="4"/>
  <c r="K3" i="4"/>
  <c r="L54" i="3"/>
  <c r="L53" i="3"/>
  <c r="L52" i="3"/>
  <c r="M13" i="4"/>
  <c r="E13" i="4"/>
  <c r="D13" i="4"/>
  <c r="M19" i="4"/>
  <c r="E19" i="4"/>
  <c r="D19" i="4"/>
  <c r="N54" i="3"/>
  <c r="H54" i="3" s="1"/>
  <c r="N55" i="3"/>
  <c r="M18" i="4"/>
  <c r="M15" i="4"/>
  <c r="M17" i="4" l="1"/>
  <c r="M16" i="4"/>
  <c r="M14" i="4"/>
  <c r="M12" i="4"/>
  <c r="M11" i="4"/>
  <c r="M10" i="4"/>
  <c r="M9" i="4"/>
  <c r="M8" i="4"/>
  <c r="M7" i="4"/>
  <c r="M6" i="4"/>
  <c r="M5" i="4"/>
  <c r="M4" i="4"/>
  <c r="G44" i="3" s="1"/>
  <c r="M3" i="4"/>
  <c r="M2" i="4"/>
  <c r="K18" i="4"/>
  <c r="K14" i="4"/>
  <c r="E18" i="4"/>
  <c r="D18" i="4"/>
  <c r="D71" i="3"/>
  <c r="E15" i="4" l="1"/>
  <c r="D70" i="3" s="1"/>
  <c r="J11" i="3"/>
  <c r="D69" i="3"/>
  <c r="D15" i="4" l="1"/>
  <c r="D68" i="3" s="1"/>
  <c r="K57" i="3"/>
  <c r="N53" i="3"/>
  <c r="H53" i="3" s="1"/>
  <c r="L58" i="3"/>
  <c r="L57" i="3"/>
  <c r="L56" i="3"/>
  <c r="L55" i="3"/>
  <c r="L51" i="3" l="1"/>
  <c r="K39" i="3" l="1"/>
  <c r="K40" i="3" s="1"/>
  <c r="K41" i="3" s="1"/>
  <c r="N51" i="3"/>
  <c r="N52" i="3"/>
  <c r="H52" i="3" s="1"/>
  <c r="H55" i="3"/>
  <c r="N56" i="3"/>
  <c r="H56" i="3" s="1"/>
  <c r="N57" i="3"/>
  <c r="J58" i="3"/>
  <c r="N58" i="3" s="1"/>
  <c r="G60" i="3" l="1"/>
  <c r="K53" i="3"/>
  <c r="H57" i="3"/>
  <c r="H51" i="3"/>
  <c r="H58" i="3"/>
  <c r="K11" i="3" l="1"/>
  <c r="L11" i="3" s="1"/>
  <c r="G43" i="3"/>
  <c r="P39" i="3" s="1"/>
  <c r="P40" i="3" s="1"/>
  <c r="P41" i="3" s="1"/>
  <c r="L13" i="3" l="1"/>
  <c r="K63" i="3"/>
  <c r="G59" i="3"/>
  <c r="G61" i="3"/>
  <c r="K13" i="3" l="1"/>
  <c r="J13" i="3" s="1"/>
  <c r="G26" i="3"/>
  <c r="G28" i="3"/>
  <c r="P20" i="1"/>
  <c r="K10" i="1"/>
  <c r="O17" i="1"/>
  <c r="N17" i="1"/>
  <c r="B24" i="1"/>
  <c r="L14" i="3" l="1"/>
  <c r="G11" i="3" s="1"/>
  <c r="M23" i="1"/>
  <c r="K31" i="3"/>
  <c r="G31" i="3" s="1"/>
  <c r="B25" i="1"/>
  <c r="B26" i="1" s="1"/>
  <c r="M25" i="1" l="1"/>
  <c r="B27" i="1"/>
  <c r="M26" i="1" l="1"/>
  <c r="B28" i="1"/>
  <c r="M27" i="1" l="1"/>
  <c r="B29" i="1"/>
  <c r="M28" i="1" l="1"/>
  <c r="B30" i="1"/>
  <c r="M29" i="1" l="1"/>
  <c r="B31" i="1"/>
  <c r="M30" i="1" l="1"/>
  <c r="B32" i="1"/>
  <c r="M31" i="1" l="1"/>
  <c r="B33" i="1"/>
  <c r="M32" i="1" l="1"/>
  <c r="B34" i="1"/>
  <c r="M33" i="1" l="1"/>
  <c r="B35" i="1"/>
  <c r="M34" i="1" l="1"/>
  <c r="B36" i="1"/>
  <c r="M35" i="1" l="1"/>
  <c r="B37" i="1"/>
  <c r="M36" i="1" l="1"/>
  <c r="B38" i="1"/>
  <c r="M37" i="1" l="1"/>
  <c r="B39" i="1"/>
  <c r="M38" i="1" l="1"/>
  <c r="B40" i="1"/>
  <c r="M39" i="1" l="1"/>
  <c r="B41" i="1"/>
  <c r="M40" i="1" l="1"/>
  <c r="B42" i="1"/>
  <c r="M41" i="1" l="1"/>
  <c r="B43" i="1"/>
  <c r="M42" i="1" l="1"/>
  <c r="B44" i="1"/>
  <c r="M43" i="1" l="1"/>
  <c r="B45" i="1"/>
  <c r="M44" i="1" l="1"/>
  <c r="B46" i="1"/>
  <c r="M45" i="1" l="1"/>
  <c r="B47" i="1"/>
  <c r="M46" i="1" l="1"/>
  <c r="B48" i="1"/>
  <c r="M47" i="1" l="1"/>
  <c r="B49" i="1"/>
  <c r="M48" i="1" l="1"/>
  <c r="B50" i="1"/>
  <c r="M49" i="1" l="1"/>
  <c r="B51" i="1"/>
  <c r="M50" i="1" l="1"/>
  <c r="B52" i="1"/>
  <c r="M51" i="1" l="1"/>
  <c r="B53" i="1"/>
  <c r="M52" i="1" l="1"/>
  <c r="B54" i="1"/>
  <c r="M53" i="1" l="1"/>
  <c r="B55" i="1"/>
  <c r="M54" i="1" l="1"/>
  <c r="B56" i="1"/>
  <c r="M55" i="1" l="1"/>
  <c r="B57" i="1"/>
  <c r="M56" i="1" l="1"/>
  <c r="B58" i="1"/>
  <c r="M57" i="1" l="1"/>
  <c r="B59" i="1"/>
  <c r="M58" i="1" l="1"/>
  <c r="B60" i="1"/>
  <c r="M59" i="1" l="1"/>
  <c r="B61" i="1"/>
  <c r="M60" i="1" l="1"/>
  <c r="B62" i="1"/>
  <c r="M61" i="1" l="1"/>
  <c r="B63" i="1"/>
  <c r="M62" i="1" l="1"/>
  <c r="B64" i="1"/>
  <c r="M63" i="1" l="1"/>
  <c r="B65" i="1"/>
  <c r="M64" i="1" l="1"/>
  <c r="B66" i="1"/>
  <c r="M65" i="1" l="1"/>
  <c r="B67" i="1"/>
  <c r="M66" i="1" l="1"/>
  <c r="B68" i="1"/>
  <c r="M67" i="1" l="1"/>
  <c r="B69" i="1"/>
  <c r="M68" i="1" l="1"/>
  <c r="B70" i="1"/>
  <c r="M69" i="1" l="1"/>
  <c r="B71" i="1"/>
  <c r="M70" i="1" l="1"/>
  <c r="B72" i="1"/>
  <c r="M71" i="1" l="1"/>
  <c r="B73" i="1"/>
  <c r="M72" i="1" l="1"/>
  <c r="B74" i="1"/>
  <c r="M73" i="1" l="1"/>
  <c r="B75" i="1"/>
  <c r="M74" i="1" l="1"/>
  <c r="B76" i="1"/>
  <c r="M75" i="1" l="1"/>
  <c r="B77" i="1"/>
  <c r="M76" i="1" l="1"/>
  <c r="B78" i="1"/>
  <c r="M77" i="1" l="1"/>
  <c r="B79" i="1"/>
  <c r="M78" i="1" l="1"/>
  <c r="B80" i="1"/>
  <c r="M79" i="1" l="1"/>
  <c r="B81" i="1"/>
  <c r="M80" i="1" l="1"/>
  <c r="B82" i="1"/>
  <c r="M81" i="1" l="1"/>
  <c r="B83" i="1"/>
  <c r="M82" i="1" l="1"/>
  <c r="B84" i="1"/>
  <c r="M83" i="1" l="1"/>
  <c r="B85" i="1"/>
  <c r="M84" i="1" l="1"/>
  <c r="B86" i="1"/>
  <c r="M85" i="1" l="1"/>
  <c r="B87" i="1"/>
  <c r="M86" i="1" l="1"/>
  <c r="B88" i="1"/>
  <c r="M87" i="1" l="1"/>
  <c r="B89" i="1"/>
  <c r="M88" i="1" l="1"/>
  <c r="B90" i="1"/>
  <c r="M89" i="1" l="1"/>
  <c r="B91" i="1"/>
  <c r="M90" i="1" l="1"/>
  <c r="B92" i="1"/>
  <c r="P63" i="3"/>
  <c r="P65" i="3" s="1"/>
  <c r="M91" i="1" l="1"/>
  <c r="B93" i="1"/>
  <c r="G38" i="3"/>
  <c r="M24" i="1"/>
  <c r="M92" i="1" l="1"/>
  <c r="B94" i="1"/>
  <c r="C23" i="1"/>
  <c r="M93" i="1" l="1"/>
  <c r="B95" i="1"/>
  <c r="D23" i="1"/>
  <c r="C24" i="1"/>
  <c r="C25" i="1" s="1"/>
  <c r="M94" i="1" l="1"/>
  <c r="B96" i="1"/>
  <c r="D24" i="1"/>
  <c r="D25" i="1"/>
  <c r="E24" i="1"/>
  <c r="H24" i="1" s="1"/>
  <c r="E25" i="1"/>
  <c r="H25" i="1" s="1"/>
  <c r="M95" i="1" l="1"/>
  <c r="M17" i="1" s="1"/>
  <c r="C26" i="1"/>
  <c r="C27" i="1" s="1"/>
  <c r="E26" i="1" l="1"/>
  <c r="H26" i="1" s="1"/>
  <c r="D26" i="1"/>
  <c r="D27" i="1"/>
  <c r="E27" i="1"/>
  <c r="H27" i="1" s="1"/>
  <c r="C22" i="1"/>
  <c r="E23" i="1" l="1"/>
  <c r="H23" i="1" s="1"/>
  <c r="D22" i="1"/>
  <c r="C28" i="1"/>
  <c r="D28" i="1" s="1"/>
  <c r="C21" i="1"/>
  <c r="D21" i="1" l="1"/>
  <c r="E28" i="1"/>
  <c r="H28" i="1" s="1"/>
  <c r="C29" i="1"/>
  <c r="C30" i="1" s="1"/>
  <c r="C20" i="1"/>
  <c r="E22" i="1"/>
  <c r="H22" i="1" s="1"/>
  <c r="F20" i="1" l="1"/>
  <c r="G20" i="1" s="1"/>
  <c r="E29" i="1"/>
  <c r="H29" i="1" s="1"/>
  <c r="D29" i="1"/>
  <c r="D30" i="1"/>
  <c r="D20" i="1"/>
  <c r="E21" i="1"/>
  <c r="H21" i="1" s="1"/>
  <c r="E30" i="1"/>
  <c r="H30" i="1" s="1"/>
  <c r="J20" i="1" l="1"/>
  <c r="H20" i="1"/>
  <c r="I20" i="1" s="1"/>
  <c r="C31" i="1"/>
  <c r="C32" i="1" s="1"/>
  <c r="F21" i="1"/>
  <c r="J21" i="1" s="1"/>
  <c r="E31" i="1" l="1"/>
  <c r="H31" i="1" s="1"/>
  <c r="D31" i="1"/>
  <c r="D32" i="1"/>
  <c r="G21" i="1"/>
  <c r="I21" i="1"/>
  <c r="E32" i="1"/>
  <c r="H32" i="1" s="1"/>
  <c r="C33" i="1" l="1"/>
  <c r="C34" i="1" s="1"/>
  <c r="E33" i="1" l="1"/>
  <c r="H33" i="1" s="1"/>
  <c r="D33" i="1"/>
  <c r="D34" i="1"/>
  <c r="E34" i="1"/>
  <c r="H34" i="1" s="1"/>
  <c r="C35" i="1" l="1"/>
  <c r="C36" i="1" s="1"/>
  <c r="E35" i="1" l="1"/>
  <c r="H35" i="1" s="1"/>
  <c r="D35" i="1"/>
  <c r="D36" i="1"/>
  <c r="E36" i="1"/>
  <c r="H36" i="1" s="1"/>
  <c r="C37" i="1" l="1"/>
  <c r="C38" i="1" s="1"/>
  <c r="E37" i="1" l="1"/>
  <c r="H37" i="1" s="1"/>
  <c r="D37" i="1"/>
  <c r="D38" i="1"/>
  <c r="E38" i="1"/>
  <c r="H38" i="1" s="1"/>
  <c r="C39" i="1" l="1"/>
  <c r="C40" i="1" s="1"/>
  <c r="E39" i="1" l="1"/>
  <c r="H39" i="1" s="1"/>
  <c r="D39" i="1"/>
  <c r="D40" i="1"/>
  <c r="E40" i="1"/>
  <c r="H40" i="1" s="1"/>
  <c r="C41" i="1" l="1"/>
  <c r="C42" i="1" s="1"/>
  <c r="E41" i="1" l="1"/>
  <c r="H41" i="1" s="1"/>
  <c r="D41" i="1"/>
  <c r="D42" i="1"/>
  <c r="E42" i="1"/>
  <c r="H42" i="1" s="1"/>
  <c r="C43" i="1" l="1"/>
  <c r="C44" i="1" s="1"/>
  <c r="E43" i="1" l="1"/>
  <c r="H43" i="1" s="1"/>
  <c r="D43" i="1"/>
  <c r="D44" i="1"/>
  <c r="E44" i="1"/>
  <c r="H44" i="1" s="1"/>
  <c r="C45" i="1" l="1"/>
  <c r="C46" i="1" l="1"/>
  <c r="E45" i="1"/>
  <c r="H45" i="1" s="1"/>
  <c r="D45" i="1"/>
  <c r="D46" i="1" l="1"/>
  <c r="E46" i="1"/>
  <c r="H46" i="1" s="1"/>
  <c r="C47" i="1"/>
  <c r="E47" i="1" l="1"/>
  <c r="D47" i="1"/>
  <c r="C48" i="1"/>
  <c r="D48" i="1" s="1"/>
  <c r="H47" i="1" l="1"/>
  <c r="E48" i="1"/>
  <c r="C49" i="1"/>
  <c r="E49" i="1" l="1"/>
  <c r="H48" i="1"/>
  <c r="D49" i="1"/>
  <c r="C50" i="1"/>
  <c r="E50" i="1" l="1"/>
  <c r="D50" i="1"/>
  <c r="H49" i="1"/>
  <c r="C51" i="1"/>
  <c r="E51" i="1" l="1"/>
  <c r="D51" i="1"/>
  <c r="H50" i="1"/>
  <c r="C52" i="1"/>
  <c r="D52" i="1" s="1"/>
  <c r="H51" i="1" l="1"/>
  <c r="E52" i="1"/>
  <c r="C53" i="1"/>
  <c r="H52" i="1" l="1"/>
  <c r="E53" i="1"/>
  <c r="D53" i="1"/>
  <c r="C54" i="1"/>
  <c r="H53" i="1" l="1"/>
  <c r="E54" i="1"/>
  <c r="D54" i="1"/>
  <c r="C55" i="1"/>
  <c r="E55" i="1" s="1"/>
  <c r="H55" i="1" l="1"/>
  <c r="D55" i="1"/>
  <c r="H54" i="1"/>
  <c r="C56" i="1"/>
  <c r="E56" i="1" l="1"/>
  <c r="D56" i="1"/>
  <c r="C57" i="1"/>
  <c r="E57" i="1" l="1"/>
  <c r="H57" i="1" s="1"/>
  <c r="D57" i="1"/>
  <c r="H56" i="1"/>
  <c r="C58" i="1"/>
  <c r="E58" i="1" l="1"/>
  <c r="H58" i="1" s="1"/>
  <c r="D58" i="1"/>
  <c r="C59" i="1"/>
  <c r="E59" i="1" l="1"/>
  <c r="D59" i="1"/>
  <c r="C60" i="1"/>
  <c r="E60" i="1" l="1"/>
  <c r="D60" i="1"/>
  <c r="H59" i="1"/>
  <c r="C61" i="1"/>
  <c r="E61" i="1" l="1"/>
  <c r="D61" i="1"/>
  <c r="H60" i="1"/>
  <c r="C62" i="1"/>
  <c r="E62" i="1" l="1"/>
  <c r="D62" i="1"/>
  <c r="H61" i="1"/>
  <c r="C63" i="1"/>
  <c r="D63" i="1" s="1"/>
  <c r="E63" i="1" l="1"/>
  <c r="H62" i="1"/>
  <c r="C64" i="1"/>
  <c r="D64" i="1" s="1"/>
  <c r="E64" i="1" l="1"/>
  <c r="H63" i="1"/>
  <c r="C65" i="1"/>
  <c r="E65" i="1" l="1"/>
  <c r="D65" i="1"/>
  <c r="H64" i="1"/>
  <c r="C66" i="1"/>
  <c r="E66" i="1" l="1"/>
  <c r="D66" i="1"/>
  <c r="H65" i="1"/>
  <c r="C67" i="1"/>
  <c r="E67" i="1" l="1"/>
  <c r="D67" i="1"/>
  <c r="H66" i="1"/>
  <c r="C68" i="1"/>
  <c r="D68" i="1" s="1"/>
  <c r="E68" i="1" l="1"/>
  <c r="H67" i="1"/>
  <c r="C69" i="1"/>
  <c r="E69" i="1" l="1"/>
  <c r="D69" i="1"/>
  <c r="H68" i="1"/>
  <c r="C70" i="1"/>
  <c r="D70" i="1" s="1"/>
  <c r="E70" i="1" l="1"/>
  <c r="H69" i="1"/>
  <c r="C71" i="1"/>
  <c r="D71" i="1" s="1"/>
  <c r="E71" i="1" l="1"/>
  <c r="H70" i="1"/>
  <c r="C72" i="1"/>
  <c r="E72" i="1" l="1"/>
  <c r="D72" i="1"/>
  <c r="H71" i="1"/>
  <c r="C73" i="1"/>
  <c r="E73" i="1" l="1"/>
  <c r="D73" i="1"/>
  <c r="H72" i="1"/>
  <c r="C74" i="1"/>
  <c r="E74" i="1" l="1"/>
  <c r="H73" i="1"/>
  <c r="D74" i="1"/>
  <c r="C75" i="1"/>
  <c r="E75" i="1" l="1"/>
  <c r="H74" i="1"/>
  <c r="D75" i="1"/>
  <c r="C76" i="1"/>
  <c r="E76" i="1" l="1"/>
  <c r="D76" i="1"/>
  <c r="H75" i="1"/>
  <c r="C77" i="1"/>
  <c r="E77" i="1" l="1"/>
  <c r="D77" i="1"/>
  <c r="H76" i="1"/>
  <c r="C78" i="1"/>
  <c r="E78" i="1" l="1"/>
  <c r="D78" i="1"/>
  <c r="H77" i="1"/>
  <c r="C79" i="1"/>
  <c r="E79" i="1" l="1"/>
  <c r="D79" i="1"/>
  <c r="H78" i="1"/>
  <c r="C80" i="1"/>
  <c r="E80" i="1" l="1"/>
  <c r="D80" i="1"/>
  <c r="H79" i="1"/>
  <c r="C81" i="1"/>
  <c r="E81" i="1" l="1"/>
  <c r="H80" i="1"/>
  <c r="D81" i="1"/>
  <c r="C82" i="1"/>
  <c r="D82" i="1" s="1"/>
  <c r="H81" i="1" l="1"/>
  <c r="E82" i="1"/>
  <c r="C83" i="1"/>
  <c r="E83" i="1" l="1"/>
  <c r="D83" i="1"/>
  <c r="H82" i="1"/>
  <c r="C84" i="1"/>
  <c r="E84" i="1" l="1"/>
  <c r="D84" i="1"/>
  <c r="H83" i="1"/>
  <c r="C85" i="1"/>
  <c r="E85" i="1" l="1"/>
  <c r="D85" i="1"/>
  <c r="H84" i="1"/>
  <c r="C86" i="1"/>
  <c r="H85" i="1" l="1"/>
  <c r="E86" i="1"/>
  <c r="D86" i="1"/>
  <c r="C87" i="1"/>
  <c r="D87" i="1" s="1"/>
  <c r="E87" i="1" l="1"/>
  <c r="H86" i="1"/>
  <c r="C88" i="1"/>
  <c r="E88" i="1" s="1"/>
  <c r="H88" i="1" l="1"/>
  <c r="D88" i="1"/>
  <c r="H87" i="1"/>
  <c r="C89" i="1"/>
  <c r="E89" i="1" l="1"/>
  <c r="H89" i="1" s="1"/>
  <c r="C90" i="1"/>
  <c r="D89" i="1"/>
  <c r="E90" i="1" l="1"/>
  <c r="H90" i="1" s="1"/>
  <c r="D90" i="1"/>
  <c r="C91" i="1"/>
  <c r="D91" i="1" l="1"/>
  <c r="E91" i="1"/>
  <c r="H91" i="1" s="1"/>
  <c r="C92" i="1"/>
  <c r="E92" i="1" l="1"/>
  <c r="H92" i="1" s="1"/>
  <c r="D92" i="1"/>
  <c r="C93" i="1"/>
  <c r="D93" i="1" l="1"/>
  <c r="E93" i="1"/>
  <c r="H93" i="1" s="1"/>
  <c r="C94" i="1"/>
  <c r="C95" i="1" s="1"/>
  <c r="E95" i="1" l="1"/>
  <c r="D95" i="1"/>
  <c r="D94" i="1"/>
  <c r="E94" i="1"/>
  <c r="H94" i="1" s="1"/>
  <c r="H95" i="1" l="1"/>
  <c r="F22" i="1" l="1"/>
  <c r="I22" i="1" s="1"/>
  <c r="J22" i="1"/>
  <c r="G22" i="1" l="1"/>
  <c r="K22" i="1"/>
  <c r="F23" i="1" l="1"/>
  <c r="I23" i="1" s="1"/>
  <c r="G23" i="1"/>
  <c r="K65" i="3" l="1"/>
  <c r="L23" i="1" s="1"/>
  <c r="F24" i="1"/>
  <c r="J23" i="1"/>
  <c r="K23" i="1" l="1"/>
  <c r="G24" i="1" s="1"/>
  <c r="L24" i="1"/>
  <c r="P23" i="1"/>
  <c r="J24" i="1" l="1"/>
  <c r="I24" i="1"/>
  <c r="F25" i="1"/>
  <c r="L25" i="1"/>
  <c r="P24" i="1"/>
  <c r="L26" i="1" l="1"/>
  <c r="P25" i="1"/>
  <c r="K24" i="1"/>
  <c r="G25" i="1" s="1"/>
  <c r="I25" i="1" l="1"/>
  <c r="J25" i="1"/>
  <c r="F26" i="1"/>
  <c r="P26" i="1"/>
  <c r="L27" i="1"/>
  <c r="L28" i="1" l="1"/>
  <c r="P27" i="1"/>
  <c r="K25" i="1"/>
  <c r="G26" i="1" s="1"/>
  <c r="J26" i="1" l="1"/>
  <c r="F27" i="1"/>
  <c r="I26" i="1"/>
  <c r="P28" i="1"/>
  <c r="L29" i="1"/>
  <c r="K26" i="1" l="1"/>
  <c r="G27" i="1"/>
  <c r="L30" i="1"/>
  <c r="P29" i="1"/>
  <c r="P30" i="1" l="1"/>
  <c r="L31" i="1"/>
  <c r="F28" i="1"/>
  <c r="I27" i="1"/>
  <c r="J27" i="1"/>
  <c r="L32" i="1" l="1"/>
  <c r="P31" i="1"/>
  <c r="K27" i="1"/>
  <c r="G28" i="1" s="1"/>
  <c r="F29" i="1" l="1"/>
  <c r="I28" i="1"/>
  <c r="J28" i="1"/>
  <c r="P32" i="1"/>
  <c r="L33" i="1"/>
  <c r="K28" i="1" l="1"/>
  <c r="G29" i="1" s="1"/>
  <c r="F30" i="1" s="1"/>
  <c r="L34" i="1"/>
  <c r="P33" i="1"/>
  <c r="J29" i="1" l="1"/>
  <c r="I29" i="1"/>
  <c r="K29" i="1"/>
  <c r="G30" i="1" s="1"/>
  <c r="I30" i="1" s="1"/>
  <c r="L35" i="1"/>
  <c r="P34" i="1"/>
  <c r="J30" i="1" l="1"/>
  <c r="K30" i="1" s="1"/>
  <c r="F31" i="1"/>
  <c r="L36" i="1"/>
  <c r="P35" i="1"/>
  <c r="G31" i="1" l="1"/>
  <c r="F32" i="1" s="1"/>
  <c r="L37" i="1"/>
  <c r="P36" i="1"/>
  <c r="J31" i="1" l="1"/>
  <c r="I31" i="1"/>
  <c r="K31" i="1"/>
  <c r="G32" i="1" s="1"/>
  <c r="P37" i="1"/>
  <c r="L38" i="1"/>
  <c r="J32" i="1"/>
  <c r="I32" i="1"/>
  <c r="F33" i="1"/>
  <c r="L39" i="1" l="1"/>
  <c r="P38" i="1"/>
  <c r="K32" i="1"/>
  <c r="G33" i="1" s="1"/>
  <c r="P39" i="1" l="1"/>
  <c r="L40" i="1"/>
  <c r="J33" i="1"/>
  <c r="F34" i="1"/>
  <c r="I33" i="1"/>
  <c r="L41" i="1" l="1"/>
  <c r="P40" i="1"/>
  <c r="K33" i="1"/>
  <c r="G34" i="1" s="1"/>
  <c r="F35" i="1" s="1"/>
  <c r="L42" i="1" l="1"/>
  <c r="P41" i="1"/>
  <c r="J34" i="1"/>
  <c r="I34" i="1"/>
  <c r="L43" i="1" l="1"/>
  <c r="P42" i="1"/>
  <c r="K34" i="1"/>
  <c r="G35" i="1" s="1"/>
  <c r="I35" i="1" s="1"/>
  <c r="L44" i="1" l="1"/>
  <c r="P43" i="1"/>
  <c r="F36" i="1"/>
  <c r="J35" i="1"/>
  <c r="K35" i="1" s="1"/>
  <c r="L45" i="1" l="1"/>
  <c r="P44" i="1"/>
  <c r="G36" i="1"/>
  <c r="F37" i="1" s="1"/>
  <c r="P45" i="1" l="1"/>
  <c r="L46" i="1"/>
  <c r="J36" i="1"/>
  <c r="I36" i="1"/>
  <c r="P46" i="1" l="1"/>
  <c r="L47" i="1"/>
  <c r="K36" i="1"/>
  <c r="G37" i="1" s="1"/>
  <c r="I37" i="1" s="1"/>
  <c r="P47" i="1" l="1"/>
  <c r="L48" i="1"/>
  <c r="F38" i="1"/>
  <c r="J37" i="1"/>
  <c r="K37" i="1" s="1"/>
  <c r="P48" i="1" l="1"/>
  <c r="L49" i="1"/>
  <c r="G38" i="1"/>
  <c r="J38" i="1" s="1"/>
  <c r="P49" i="1" l="1"/>
  <c r="L50" i="1"/>
  <c r="F39" i="1"/>
  <c r="I38" i="1"/>
  <c r="K38" i="1" s="1"/>
  <c r="P50" i="1" l="1"/>
  <c r="L51" i="1"/>
  <c r="G39" i="1"/>
  <c r="J39" i="1" s="1"/>
  <c r="L52" i="1" l="1"/>
  <c r="P51" i="1"/>
  <c r="F40" i="1"/>
  <c r="I39" i="1"/>
  <c r="K39" i="1" s="1"/>
  <c r="P52" i="1" l="1"/>
  <c r="L53" i="1"/>
  <c r="G40" i="1"/>
  <c r="J40" i="1" s="1"/>
  <c r="I40" i="1" l="1"/>
  <c r="P53" i="1"/>
  <c r="L54" i="1"/>
  <c r="F41" i="1"/>
  <c r="K40" i="1"/>
  <c r="G41" i="1" l="1"/>
  <c r="L55" i="1"/>
  <c r="P54" i="1"/>
  <c r="F42" i="1"/>
  <c r="J41" i="1"/>
  <c r="I41" i="1"/>
  <c r="P55" i="1" l="1"/>
  <c r="L56" i="1"/>
  <c r="K41" i="1"/>
  <c r="G42" i="1" s="1"/>
  <c r="P56" i="1" l="1"/>
  <c r="L57" i="1"/>
  <c r="J42" i="1"/>
  <c r="I42" i="1"/>
  <c r="F43" i="1"/>
  <c r="L58" i="1" l="1"/>
  <c r="P57" i="1"/>
  <c r="K42" i="1"/>
  <c r="G43" i="1" s="1"/>
  <c r="P58" i="1" l="1"/>
  <c r="L59" i="1"/>
  <c r="J43" i="1"/>
  <c r="I43" i="1"/>
  <c r="F44" i="1"/>
  <c r="L60" i="1" l="1"/>
  <c r="P59" i="1"/>
  <c r="K43" i="1"/>
  <c r="G44" i="1" s="1"/>
  <c r="L61" i="1" l="1"/>
  <c r="P60" i="1"/>
  <c r="J44" i="1"/>
  <c r="F45" i="1"/>
  <c r="I44" i="1"/>
  <c r="L62" i="1" l="1"/>
  <c r="P61" i="1"/>
  <c r="K44" i="1"/>
  <c r="G45" i="1" s="1"/>
  <c r="I45" i="1" s="1"/>
  <c r="P62" i="1" l="1"/>
  <c r="L63" i="1"/>
  <c r="F46" i="1"/>
  <c r="J45" i="1"/>
  <c r="K45" i="1" s="1"/>
  <c r="L64" i="1" l="1"/>
  <c r="P63" i="1"/>
  <c r="G46" i="1"/>
  <c r="F47" i="1" s="1"/>
  <c r="L65" i="1" l="1"/>
  <c r="P64" i="1"/>
  <c r="J46" i="1"/>
  <c r="I46" i="1"/>
  <c r="L66" i="1" l="1"/>
  <c r="P65" i="1"/>
  <c r="K46" i="1"/>
  <c r="G47" i="1" s="1"/>
  <c r="J47" i="1" s="1"/>
  <c r="L67" i="1" l="1"/>
  <c r="P66" i="1"/>
  <c r="F48" i="1"/>
  <c r="I47" i="1"/>
  <c r="K47" i="1" s="1"/>
  <c r="L68" i="1" l="1"/>
  <c r="P67" i="1"/>
  <c r="G48" i="1"/>
  <c r="J48" i="1" s="1"/>
  <c r="P68" i="1" l="1"/>
  <c r="L69" i="1"/>
  <c r="I48" i="1"/>
  <c r="K48" i="1" s="1"/>
  <c r="F49" i="1"/>
  <c r="P69" i="1" l="1"/>
  <c r="L70" i="1"/>
  <c r="G49" i="1"/>
  <c r="I49" i="1" s="1"/>
  <c r="P70" i="1" l="1"/>
  <c r="L71" i="1"/>
  <c r="J49" i="1"/>
  <c r="K49" i="1" s="1"/>
  <c r="F50" i="1"/>
  <c r="L72" i="1" l="1"/>
  <c r="P71" i="1"/>
  <c r="G50" i="1"/>
  <c r="I50" i="1" s="1"/>
  <c r="L73" i="1" l="1"/>
  <c r="P72" i="1"/>
  <c r="J50" i="1"/>
  <c r="K50" i="1" s="1"/>
  <c r="F51" i="1"/>
  <c r="P73" i="1" l="1"/>
  <c r="L74" i="1"/>
  <c r="G51" i="1"/>
  <c r="J51" i="1" s="1"/>
  <c r="F52" i="1" l="1"/>
  <c r="L75" i="1"/>
  <c r="P74" i="1"/>
  <c r="I51" i="1"/>
  <c r="K51" i="1" s="1"/>
  <c r="G52" i="1" l="1"/>
  <c r="I52" i="1" s="1"/>
  <c r="J52" i="1"/>
  <c r="F53" i="1"/>
  <c r="P75" i="1"/>
  <c r="L76" i="1"/>
  <c r="K52" i="1" l="1"/>
  <c r="G53" i="1" s="1"/>
  <c r="J53" i="1" s="1"/>
  <c r="P76" i="1"/>
  <c r="L77" i="1"/>
  <c r="F54" i="1"/>
  <c r="I53" i="1"/>
  <c r="K53" i="1" s="1"/>
  <c r="P77" i="1" l="1"/>
  <c r="L78" i="1"/>
  <c r="G54" i="1"/>
  <c r="J54" i="1" s="1"/>
  <c r="I54" i="1" l="1"/>
  <c r="P78" i="1"/>
  <c r="L79" i="1"/>
  <c r="F55" i="1"/>
  <c r="K54" i="1"/>
  <c r="P79" i="1" l="1"/>
  <c r="L80" i="1"/>
  <c r="G55" i="1"/>
  <c r="I55" i="1" s="1"/>
  <c r="J55" i="1" l="1"/>
  <c r="F56" i="1"/>
  <c r="L81" i="1"/>
  <c r="P80" i="1"/>
  <c r="K55" i="1"/>
  <c r="G56" i="1" s="1"/>
  <c r="L82" i="1" l="1"/>
  <c r="P81" i="1"/>
  <c r="I56" i="1"/>
  <c r="J56" i="1"/>
  <c r="F57" i="1"/>
  <c r="P82" i="1" l="1"/>
  <c r="L83" i="1"/>
  <c r="K56" i="1"/>
  <c r="G57" i="1" s="1"/>
  <c r="L84" i="1" l="1"/>
  <c r="P83" i="1"/>
  <c r="F58" i="1"/>
  <c r="I57" i="1"/>
  <c r="J57" i="1"/>
  <c r="P84" i="1" l="1"/>
  <c r="L85" i="1"/>
  <c r="K57" i="1"/>
  <c r="G58" i="1" s="1"/>
  <c r="J58" i="1" s="1"/>
  <c r="L86" i="1" l="1"/>
  <c r="P85" i="1"/>
  <c r="F59" i="1"/>
  <c r="I58" i="1"/>
  <c r="K58" i="1" s="1"/>
  <c r="P86" i="1" l="1"/>
  <c r="L87" i="1"/>
  <c r="G59" i="1"/>
  <c r="I59" i="1" s="1"/>
  <c r="P87" i="1" l="1"/>
  <c r="L88" i="1"/>
  <c r="F60" i="1"/>
  <c r="J59" i="1"/>
  <c r="K59" i="1" s="1"/>
  <c r="L89" i="1" l="1"/>
  <c r="P88" i="1"/>
  <c r="G60" i="1"/>
  <c r="I60" i="1" s="1"/>
  <c r="P89" i="1" l="1"/>
  <c r="L90" i="1"/>
  <c r="J60" i="1"/>
  <c r="K60" i="1" s="1"/>
  <c r="F61" i="1"/>
  <c r="P90" i="1" l="1"/>
  <c r="L91" i="1"/>
  <c r="G61" i="1"/>
  <c r="J61" i="1" s="1"/>
  <c r="L92" i="1" l="1"/>
  <c r="P91" i="1"/>
  <c r="F62" i="1"/>
  <c r="I61" i="1"/>
  <c r="K61" i="1" s="1"/>
  <c r="P92" i="1" l="1"/>
  <c r="L93" i="1"/>
  <c r="G62" i="1"/>
  <c r="I62" i="1" s="1"/>
  <c r="L94" i="1" l="1"/>
  <c r="P93" i="1"/>
  <c r="J62" i="1"/>
  <c r="K62" i="1" s="1"/>
  <c r="F63" i="1"/>
  <c r="L95" i="1" l="1"/>
  <c r="P95" i="1" s="1"/>
  <c r="P94" i="1"/>
  <c r="G63" i="1"/>
  <c r="I63" i="1" s="1"/>
  <c r="L17" i="1" l="1"/>
  <c r="K68" i="3"/>
  <c r="K69" i="3" s="1"/>
  <c r="K11" i="1" s="1"/>
  <c r="P17" i="1"/>
  <c r="F64" i="1"/>
  <c r="J63" i="1"/>
  <c r="K63" i="1" s="1"/>
  <c r="G64" i="1" l="1"/>
  <c r="I64" i="1" s="1"/>
  <c r="J64" i="1"/>
  <c r="F65" i="1" l="1"/>
  <c r="K64" i="1"/>
  <c r="G65" i="1" l="1"/>
  <c r="I65" i="1" l="1"/>
  <c r="F66" i="1"/>
  <c r="J65" i="1"/>
  <c r="K65" i="1" s="1"/>
  <c r="G66" i="1" l="1"/>
  <c r="I66" i="1" l="1"/>
  <c r="J66" i="1"/>
  <c r="K66" i="1" s="1"/>
  <c r="F67" i="1"/>
  <c r="G67" i="1" l="1"/>
  <c r="F68" i="1" s="1"/>
  <c r="J67" i="1"/>
  <c r="I67" i="1" l="1"/>
  <c r="K67" i="1" s="1"/>
  <c r="G68" i="1" s="1"/>
  <c r="F69" i="1" l="1"/>
  <c r="I68" i="1"/>
  <c r="J68" i="1"/>
  <c r="K68" i="1" s="1"/>
  <c r="G69" i="1" s="1"/>
  <c r="F70" i="1" s="1"/>
  <c r="I69" i="1" l="1"/>
  <c r="J69" i="1"/>
  <c r="K69" i="1" l="1"/>
  <c r="G70" i="1" s="1"/>
  <c r="J70" i="1" s="1"/>
  <c r="F71" i="1" l="1"/>
  <c r="I70" i="1"/>
  <c r="K70" i="1" s="1"/>
  <c r="G71" i="1" l="1"/>
  <c r="F72" i="1" s="1"/>
  <c r="J71" i="1" l="1"/>
  <c r="I71" i="1"/>
  <c r="K71" i="1" l="1"/>
  <c r="G72" i="1" s="1"/>
  <c r="F73" i="1" s="1"/>
  <c r="I72" i="1" l="1"/>
  <c r="J72" i="1"/>
  <c r="K72" i="1" l="1"/>
  <c r="G73" i="1" s="1"/>
  <c r="I73" i="1" s="1"/>
  <c r="J73" i="1" l="1"/>
  <c r="K73" i="1" s="1"/>
  <c r="F74" i="1"/>
  <c r="G74" i="1" l="1"/>
  <c r="I74" i="1" s="1"/>
  <c r="J74" i="1" l="1"/>
  <c r="K74" i="1" s="1"/>
  <c r="F75" i="1"/>
  <c r="G75" i="1" l="1"/>
  <c r="I75" i="1" s="1"/>
  <c r="F76" i="1" l="1"/>
  <c r="J75" i="1"/>
  <c r="K75" i="1" s="1"/>
  <c r="G76" i="1" l="1"/>
  <c r="F77" i="1" s="1"/>
  <c r="I76" i="1" l="1"/>
  <c r="J76" i="1"/>
  <c r="K76" i="1" l="1"/>
  <c r="G77" i="1" s="1"/>
  <c r="F78" i="1" s="1"/>
  <c r="I77" i="1" l="1"/>
  <c r="J77" i="1"/>
  <c r="K77" i="1" l="1"/>
  <c r="G78" i="1" s="1"/>
  <c r="I78" i="1" s="1"/>
  <c r="F79" i="1" l="1"/>
  <c r="J78" i="1"/>
  <c r="K78" i="1" s="1"/>
  <c r="G79" i="1" l="1"/>
  <c r="F80" i="1" s="1"/>
  <c r="J79" i="1" l="1"/>
  <c r="I79" i="1"/>
  <c r="K79" i="1" l="1"/>
  <c r="G80" i="1" s="1"/>
  <c r="J80" i="1" s="1"/>
  <c r="F81" i="1" l="1"/>
  <c r="I80" i="1"/>
  <c r="K80" i="1" s="1"/>
  <c r="G81" i="1" l="1"/>
  <c r="I81" i="1" s="1"/>
  <c r="J81" i="1" l="1"/>
  <c r="K81" i="1" s="1"/>
  <c r="F82" i="1"/>
  <c r="G82" i="1" l="1"/>
  <c r="I82" i="1" s="1"/>
  <c r="F83" i="1" l="1"/>
  <c r="J82" i="1"/>
  <c r="K82" i="1" s="1"/>
  <c r="G83" i="1" l="1"/>
  <c r="I83" i="1" s="1"/>
  <c r="J83" i="1" l="1"/>
  <c r="K83" i="1" s="1"/>
  <c r="F84" i="1"/>
  <c r="G84" i="1" l="1"/>
  <c r="J84" i="1" s="1"/>
  <c r="F85" i="1" l="1"/>
  <c r="I84" i="1"/>
  <c r="K84" i="1" s="1"/>
  <c r="G85" i="1" l="1"/>
  <c r="J85" i="1" s="1"/>
  <c r="I85" i="1" l="1"/>
  <c r="K85" i="1" s="1"/>
  <c r="F86" i="1"/>
  <c r="G86" i="1" l="1"/>
  <c r="F87" i="1" s="1"/>
  <c r="J86" i="1" l="1"/>
  <c r="I86" i="1"/>
  <c r="K86" i="1" s="1"/>
  <c r="G87" i="1" s="1"/>
  <c r="I87" i="1" s="1"/>
  <c r="J87" i="1" l="1"/>
  <c r="K87" i="1" s="1"/>
  <c r="F88" i="1"/>
  <c r="G88" i="1" l="1"/>
  <c r="J88" i="1" s="1"/>
  <c r="I88" i="1" l="1"/>
  <c r="K88" i="1" s="1"/>
  <c r="F89" i="1"/>
  <c r="G89" i="1" s="1"/>
  <c r="I89" i="1" s="1"/>
  <c r="J89" i="1" l="1"/>
  <c r="K89" i="1" s="1"/>
  <c r="F90" i="1"/>
  <c r="G90" i="1" l="1"/>
  <c r="F91" i="1" s="1"/>
  <c r="I90" i="1" l="1"/>
  <c r="J90" i="1"/>
  <c r="K90" i="1" l="1"/>
  <c r="G91" i="1" s="1"/>
  <c r="I91" i="1" s="1"/>
  <c r="J91" i="1" l="1"/>
  <c r="K91" i="1" s="1"/>
  <c r="F92" i="1"/>
  <c r="G92" i="1" l="1"/>
  <c r="I92" i="1" s="1"/>
  <c r="J92" i="1" l="1"/>
  <c r="K92" i="1" s="1"/>
  <c r="F93" i="1"/>
  <c r="G93" i="1" l="1"/>
  <c r="J93" i="1" s="1"/>
  <c r="I93" i="1" l="1"/>
  <c r="K93" i="1" s="1"/>
  <c r="F94" i="1"/>
  <c r="G94" i="1" l="1"/>
  <c r="I94" i="1" l="1"/>
  <c r="F95" i="1"/>
  <c r="J94" i="1"/>
  <c r="K94" i="1" l="1"/>
  <c r="G95" i="1" l="1"/>
  <c r="J95" i="1" l="1"/>
  <c r="J17" i="1" s="1"/>
  <c r="I95" i="1"/>
  <c r="I17" i="1" s="1"/>
  <c r="K95" i="1" l="1"/>
  <c r="K17" i="1" s="1"/>
</calcChain>
</file>

<file path=xl/sharedStrings.xml><?xml version="1.0" encoding="utf-8"?>
<sst xmlns="http://schemas.openxmlformats.org/spreadsheetml/2006/main" count="318" uniqueCount="212">
  <si>
    <t>Convenio</t>
  </si>
  <si>
    <t>Periodo de Gracia</t>
  </si>
  <si>
    <t>Periodo Final</t>
  </si>
  <si>
    <t>Periodo de gracia 1</t>
  </si>
  <si>
    <t>Periodo final 1</t>
  </si>
  <si>
    <t>%RCI</t>
  </si>
  <si>
    <t>Día de corte</t>
  </si>
  <si>
    <t>Vencimiento</t>
  </si>
  <si>
    <t>Ingreso Fijo 1</t>
  </si>
  <si>
    <t>Ingreso Fijo 2</t>
  </si>
  <si>
    <t>Reserva</t>
  </si>
  <si>
    <t>RCI global</t>
  </si>
  <si>
    <t>PG</t>
  </si>
  <si>
    <t>Marina_de_Guerra</t>
  </si>
  <si>
    <t>Remuneración Consolidada</t>
  </si>
  <si>
    <t>Bonificación FFAA</t>
  </si>
  <si>
    <t>Ejército_del_Perú</t>
  </si>
  <si>
    <t>Policia_Nacional_del_Perú</t>
  </si>
  <si>
    <t>RENIEC</t>
  </si>
  <si>
    <t>Total Ingresos Fijos</t>
  </si>
  <si>
    <t>DIRIS_Lima_Norte</t>
  </si>
  <si>
    <t>Hospital_de_apoyo_Iquitos</t>
  </si>
  <si>
    <t>SENASA</t>
  </si>
  <si>
    <t>ONPE</t>
  </si>
  <si>
    <t>U_San_Juan_Bautista</t>
  </si>
  <si>
    <t>DIRIS_Lima_Centro</t>
  </si>
  <si>
    <t>Ministerio_Defensa</t>
  </si>
  <si>
    <t>UE403_Morropon</t>
  </si>
  <si>
    <t>Fuerza_Aerea_del_Perú</t>
  </si>
  <si>
    <t>EPSEL</t>
  </si>
  <si>
    <t>UNAP</t>
  </si>
  <si>
    <t>Hospital_Regional_Loreto</t>
  </si>
  <si>
    <t>Red_Salud_APLAO</t>
  </si>
  <si>
    <t>UTES_N6</t>
  </si>
  <si>
    <t>Gobierno_Regional_Loreto</t>
  </si>
  <si>
    <t>Bonificación trabajo efectivo</t>
  </si>
  <si>
    <t>Bonificación Alto riesgo a la vida</t>
  </si>
  <si>
    <t>ESSALUD</t>
  </si>
  <si>
    <t>General de División</t>
  </si>
  <si>
    <t>Teniente General</t>
  </si>
  <si>
    <t>Vicealmirante</t>
  </si>
  <si>
    <t>CAS Indeterminado</t>
  </si>
  <si>
    <t>NPS Asistencial</t>
  </si>
  <si>
    <t>Asistencial</t>
  </si>
  <si>
    <t>Nombrado</t>
  </si>
  <si>
    <t>CAP Nombrado</t>
  </si>
  <si>
    <t>Indeterminado</t>
  </si>
  <si>
    <t>Ind_Administrativo</t>
  </si>
  <si>
    <t>Nombrado Asistencial</t>
  </si>
  <si>
    <t>Nombrado Asistencial Médico</t>
  </si>
  <si>
    <t>Nombrados</t>
  </si>
  <si>
    <t>General de Brigada</t>
  </si>
  <si>
    <t>General</t>
  </si>
  <si>
    <t>Contralmirante</t>
  </si>
  <si>
    <t>DS. Nro 001-98-TR</t>
  </si>
  <si>
    <t>PS Asistencial</t>
  </si>
  <si>
    <t>Administrativo</t>
  </si>
  <si>
    <t>CAP Indeterminado</t>
  </si>
  <si>
    <t>Mayor General</t>
  </si>
  <si>
    <t>Ind_Obrero</t>
  </si>
  <si>
    <t>Nombrado Administrativo</t>
  </si>
  <si>
    <t>Nombrado Profesional de Salud</t>
  </si>
  <si>
    <t>Coronel</t>
  </si>
  <si>
    <t>Capitán de Navío</t>
  </si>
  <si>
    <t>NPS Administrativo</t>
  </si>
  <si>
    <t>CAS Regular</t>
  </si>
  <si>
    <t>Ind_Funcionario</t>
  </si>
  <si>
    <t>Nombrado Técnico Asistencial</t>
  </si>
  <si>
    <t>Teniente Coronel</t>
  </si>
  <si>
    <t>Comandante</t>
  </si>
  <si>
    <t>Capitán de Fragata</t>
  </si>
  <si>
    <t>PS Administrativo</t>
  </si>
  <si>
    <t>Administrativos</t>
  </si>
  <si>
    <t>Mayor</t>
  </si>
  <si>
    <t>Capitán de Corbeta</t>
  </si>
  <si>
    <t>NPS CAS Asistencial</t>
  </si>
  <si>
    <t>Capitán</t>
  </si>
  <si>
    <t>Teniente Primero</t>
  </si>
  <si>
    <t>PS CAS Asistencial</t>
  </si>
  <si>
    <t>Capitan</t>
  </si>
  <si>
    <t>Teniente</t>
  </si>
  <si>
    <t>Teniente Segundo</t>
  </si>
  <si>
    <t>NPS CAS Administrativo</t>
  </si>
  <si>
    <t>Sub Teniente</t>
  </si>
  <si>
    <t>Alferez</t>
  </si>
  <si>
    <t>Alferez de Fragata</t>
  </si>
  <si>
    <t>PS CAS Administrativo</t>
  </si>
  <si>
    <t>Técnico Jefe Superior</t>
  </si>
  <si>
    <t>Sub Oficial Superior</t>
  </si>
  <si>
    <t>Técnico Superior Primero</t>
  </si>
  <si>
    <t>Técnico Supervisor</t>
  </si>
  <si>
    <t>Técnico Jefe</t>
  </si>
  <si>
    <t>Sub Oficial Brigadier</t>
  </si>
  <si>
    <t>Técnico Superior Segundo</t>
  </si>
  <si>
    <t>Técnico Inspector</t>
  </si>
  <si>
    <t>Técnico de Primera</t>
  </si>
  <si>
    <t>Sub Oficial Técnico de Primera</t>
  </si>
  <si>
    <t>Técnico Primero</t>
  </si>
  <si>
    <t>Técnico de Segunda</t>
  </si>
  <si>
    <t>Sub Oficial Técnico de Segunda</t>
  </si>
  <si>
    <t>Técnico Segundo</t>
  </si>
  <si>
    <t>Técnico de Tercera</t>
  </si>
  <si>
    <t>Sub Oficial Técnico de Tercera</t>
  </si>
  <si>
    <t>Técnico Tercero</t>
  </si>
  <si>
    <t>Suboficial Primera</t>
  </si>
  <si>
    <t>Sub Oficial de Primera</t>
  </si>
  <si>
    <t>Oficial de Mar Primero</t>
  </si>
  <si>
    <t>Suboficial de Primera</t>
  </si>
  <si>
    <t>Suboficial Segunda</t>
  </si>
  <si>
    <t>Sub Oficial de Segunda</t>
  </si>
  <si>
    <t>Oficial de Mar Segundo</t>
  </si>
  <si>
    <t>Suboficial de Segunda</t>
  </si>
  <si>
    <t>Suboficial Tercera</t>
  </si>
  <si>
    <t>Sub Oficial de Tercera</t>
  </si>
  <si>
    <t>Suboficial de Tercera</t>
  </si>
  <si>
    <t>Personal Administrativo</t>
  </si>
  <si>
    <t>Calculadora Convenios Públicos</t>
  </si>
  <si>
    <t>RCI</t>
  </si>
  <si>
    <t>Cargo Laboral</t>
  </si>
  <si>
    <t>Ingresos</t>
  </si>
  <si>
    <t>Total de Ingresos</t>
  </si>
  <si>
    <t>Ingreso variable mansual</t>
  </si>
  <si>
    <t>Promedio de Ingresos variables (3 últimos meses)</t>
  </si>
  <si>
    <t>Sumatoria de otros ingresos fijos (CAFAE)</t>
  </si>
  <si>
    <t>Ingresos no constantes</t>
  </si>
  <si>
    <t>Sumatoria de ingresos no constantes</t>
  </si>
  <si>
    <t>Descuentos de Ley</t>
  </si>
  <si>
    <t>Sumatoria de los descuentos de Ley</t>
  </si>
  <si>
    <t>Disponible para endeudamiento</t>
  </si>
  <si>
    <t>Sumatoria de facultativos</t>
  </si>
  <si>
    <t>Primer cálculo de Ingreso Neto Disponible</t>
  </si>
  <si>
    <t>Ingrese Monto a Solicitar</t>
  </si>
  <si>
    <t>Número de cuotas (En meses)</t>
  </si>
  <si>
    <t>Moneda</t>
  </si>
  <si>
    <t>Soles</t>
  </si>
  <si>
    <t>Fecha de desembolso</t>
  </si>
  <si>
    <t>Fecha de primer vencimiento</t>
  </si>
  <si>
    <t>Ingrese Tasa de Interés Efectiva Anual</t>
  </si>
  <si>
    <t>TNA 365</t>
  </si>
  <si>
    <t>Tasa de desgravamen anual</t>
  </si>
  <si>
    <t>Envío de estado de cuenta</t>
  </si>
  <si>
    <t>Virtual</t>
  </si>
  <si>
    <t>i</t>
  </si>
  <si>
    <t>d</t>
  </si>
  <si>
    <t>Tipo de Seguro de Desgravamen</t>
  </si>
  <si>
    <t>Individual</t>
  </si>
  <si>
    <t>Factor por tiempo</t>
  </si>
  <si>
    <t>Sin retorno</t>
  </si>
  <si>
    <t>Tasa mensual de Seguro de Desgravamen</t>
  </si>
  <si>
    <t>PG (Solo equipo SCC)</t>
  </si>
  <si>
    <t>Resumen de Carga Crediticia</t>
  </si>
  <si>
    <t>Endosado</t>
  </si>
  <si>
    <t>LNU</t>
  </si>
  <si>
    <t>Hipotecario</t>
  </si>
  <si>
    <t>CEF</t>
  </si>
  <si>
    <t>Vehicular</t>
  </si>
  <si>
    <t>Tarjeta</t>
  </si>
  <si>
    <t>Deuda cuota BCP</t>
  </si>
  <si>
    <t>Deuda cuota no BCP</t>
  </si>
  <si>
    <t>Saldo</t>
  </si>
  <si>
    <t>Saldo Actualizado</t>
  </si>
  <si>
    <t>Cuota Actualizada</t>
  </si>
  <si>
    <t>A</t>
  </si>
  <si>
    <t>Crédito Hipotecario</t>
  </si>
  <si>
    <t>Con retorno</t>
  </si>
  <si>
    <t>B</t>
  </si>
  <si>
    <t>Crédito Efectivo</t>
  </si>
  <si>
    <t>C</t>
  </si>
  <si>
    <t>Crédito Vehicular</t>
  </si>
  <si>
    <t>D</t>
  </si>
  <si>
    <t>Pyme</t>
  </si>
  <si>
    <t>E</t>
  </si>
  <si>
    <t>Comercial</t>
  </si>
  <si>
    <t>SS</t>
  </si>
  <si>
    <t>Deuda Indirecta</t>
  </si>
  <si>
    <t>Línea utilizada de tarjeta de Crédito</t>
  </si>
  <si>
    <t>Línea no utilizada</t>
  </si>
  <si>
    <t>% Endeudamiento</t>
  </si>
  <si>
    <t>CEM</t>
  </si>
  <si>
    <t>Dictamen</t>
  </si>
  <si>
    <t>Nota:</t>
  </si>
  <si>
    <t>w</t>
  </si>
  <si>
    <t>Capital acumulado</t>
  </si>
  <si>
    <t xml:space="preserve">Las cuotas son referenciales, sujetas a calificación y a la fecha de desembolso del crédito </t>
  </si>
  <si>
    <t>y no incluyen ITF</t>
  </si>
  <si>
    <t>Cuota</t>
  </si>
  <si>
    <t>Cuota (1)</t>
  </si>
  <si>
    <t>Periodo de gracia</t>
  </si>
  <si>
    <t>TIR</t>
  </si>
  <si>
    <t>Día de vencimiento</t>
  </si>
  <si>
    <t>TCEA</t>
  </si>
  <si>
    <t>Periodo final</t>
  </si>
  <si>
    <t>Cronograma</t>
  </si>
  <si>
    <r>
      <rPr>
        <b/>
        <sz val="12"/>
        <color theme="3"/>
        <rFont val="Aptos Narrow"/>
        <family val="2"/>
        <scheme val="minor"/>
      </rPr>
      <t>Nota:</t>
    </r>
    <r>
      <rPr>
        <sz val="12"/>
        <color theme="3"/>
        <rFont val="Aptos Narrow"/>
        <family val="2"/>
        <scheme val="minor"/>
      </rPr>
      <t xml:space="preserve"> Todo crédito se encuentra sujeto a la evaluación crediticia del Banco, quien determina el monto y plazo a otorgar.
           Este documento ha sido emitido en base a la información proporcionada por el cliente y tiene carácter referencial</t>
    </r>
  </si>
  <si>
    <t xml:space="preserve">Tasa de interés Efectiva Anual (En base a 360 días) </t>
  </si>
  <si>
    <t xml:space="preserve">Tasa de Costo Efectiva Anual (En base a 360 días) </t>
  </si>
  <si>
    <t>Cantidad total a pagar</t>
  </si>
  <si>
    <t>Interés</t>
  </si>
  <si>
    <t>Seguro desgravamen</t>
  </si>
  <si>
    <t>Amortización</t>
  </si>
  <si>
    <t>Envío físico de estado de cuenta</t>
  </si>
  <si>
    <t>Evaluación de póliza endosada</t>
  </si>
  <si>
    <t>Seguro de protección financiera</t>
  </si>
  <si>
    <t>Totales a pagar</t>
  </si>
  <si>
    <t>N°</t>
  </si>
  <si>
    <t>Fecha</t>
  </si>
  <si>
    <t>T. Días</t>
  </si>
  <si>
    <t>T. Días cuota</t>
  </si>
  <si>
    <t>Saldo anterior</t>
  </si>
  <si>
    <t>Capital</t>
  </si>
  <si>
    <t>Factor Interés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</si>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</sst>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S/&quot;\ #,##0.00;[Red]\-&quot;S/&quot;\ #,##0.00"/>
    <numFmt numFmtId="41" formatCode="_-* #,##0_-;\-* #,##0_-;_-* &quot;-&quot;_-;_-@_-"/>
    <numFmt numFmtId="44" formatCode="_-&quot;S/&quot;\ * #,##0.00_-;\-&quot;S/&quot;\ * #,##0.00_-;_-&quot;S/&quot;\ * &quot;-&quot;??_-;_-@_-"/>
    <numFmt numFmtId="164" formatCode="0.000%"/>
    <numFmt numFmtId="165" formatCode="0.00000"/>
    <numFmt numFmtId="166" formatCode="_-[$S/-280A]\ * #,##0.00_-;\-[$S/-280A]\ * #,##0.00_-;_-[$S/-280A]\ * &quot;-&quot;??_-;_-@_-"/>
    <numFmt numFmtId="167" formatCode="0.0000%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5"/>
      <name val="Lato"/>
      <family val="2"/>
    </font>
    <font>
      <sz val="14"/>
      <color theme="4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4"/>
      <name val="Aptos Narrow"/>
      <family val="2"/>
      <scheme val="minor"/>
    </font>
    <font>
      <u/>
      <sz val="10"/>
      <color theme="4"/>
      <name val="Aptos Narrow"/>
      <family val="2"/>
      <scheme val="minor"/>
    </font>
    <font>
      <sz val="8"/>
      <color theme="4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0" tint="-0.499984740745262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5"/>
      <name val="Lato"/>
      <family val="2"/>
    </font>
    <font>
      <sz val="12"/>
      <color theme="3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sz val="12"/>
      <color theme="3" tint="9.9978637043366805E-2"/>
      <name val="Aptos Narrow"/>
      <family val="2"/>
      <scheme val="minor"/>
    </font>
    <font>
      <b/>
      <sz val="12"/>
      <color theme="4" tint="-0.49998474074526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sz val="12"/>
      <color rgb="FFDBC998"/>
      <name val="Aptos Narrow"/>
      <family val="2"/>
      <scheme val="minor"/>
    </font>
    <font>
      <sz val="12"/>
      <color rgb="FFE5C784"/>
      <name val="Aptos Narrow"/>
      <family val="2"/>
      <scheme val="minor"/>
    </font>
    <font>
      <sz val="12"/>
      <color theme="4" tint="-0.499984740745262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b/>
      <sz val="10"/>
      <color theme="0" tint="-0.1499984740745262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5C784"/>
        <bgColor indexed="64"/>
      </patternFill>
    </fill>
    <fill>
      <patternFill patternType="solid">
        <fgColor rgb="FFF4D796"/>
        <bgColor indexed="64"/>
      </patternFill>
    </fill>
    <fill>
      <patternFill patternType="solid">
        <fgColor rgb="FFEEE6CE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/>
      <right/>
      <top/>
      <bottom style="thin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4" fillId="0" borderId="0" xfId="1" applyFont="1" applyAlignment="1">
      <alignment horizontal="center"/>
    </xf>
    <xf numFmtId="0" fontId="0" fillId="0" borderId="2" xfId="0" applyBorder="1"/>
    <xf numFmtId="0" fontId="5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4" fontId="6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/>
    <xf numFmtId="0" fontId="12" fillId="0" borderId="0" xfId="1" applyNumberFormat="1" applyFont="1" applyAlignment="1">
      <alignment horizontal="center"/>
    </xf>
    <xf numFmtId="44" fontId="4" fillId="0" borderId="0" xfId="2" applyFont="1" applyAlignment="1">
      <alignment horizontal="center"/>
    </xf>
    <xf numFmtId="44" fontId="9" fillId="0" borderId="0" xfId="2" applyFont="1"/>
    <xf numFmtId="0" fontId="14" fillId="0" borderId="0" xfId="0" applyFont="1"/>
    <xf numFmtId="44" fontId="14" fillId="0" borderId="0" xfId="2" applyFont="1" applyAlignment="1">
      <alignment horizontal="center"/>
    </xf>
    <xf numFmtId="0" fontId="0" fillId="3" borderId="0" xfId="0" applyFill="1"/>
    <xf numFmtId="0" fontId="10" fillId="0" borderId="0" xfId="0" applyFont="1" applyAlignment="1">
      <alignment horizontal="center"/>
    </xf>
    <xf numFmtId="10" fontId="0" fillId="3" borderId="0" xfId="1" applyNumberFormat="1" applyFont="1" applyFill="1"/>
    <xf numFmtId="164" fontId="7" fillId="0" borderId="0" xfId="1" applyNumberFormat="1" applyFont="1" applyBorder="1" applyAlignment="1">
      <alignment horizontal="center"/>
    </xf>
    <xf numFmtId="44" fontId="0" fillId="3" borderId="0" xfId="0" applyNumberFormat="1" applyFill="1"/>
    <xf numFmtId="0" fontId="0" fillId="3" borderId="0" xfId="1" applyNumberFormat="1" applyFont="1" applyFill="1"/>
    <xf numFmtId="10" fontId="0" fillId="3" borderId="0" xfId="0" applyNumberFormat="1" applyFill="1"/>
    <xf numFmtId="44" fontId="10" fillId="0" borderId="1" xfId="2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44" fontId="7" fillId="0" borderId="1" xfId="2" applyFont="1" applyBorder="1" applyAlignment="1" applyProtection="1">
      <alignment horizontal="center"/>
      <protection locked="0"/>
    </xf>
    <xf numFmtId="0" fontId="10" fillId="0" borderId="6" xfId="0" applyFont="1" applyBorder="1" applyAlignment="1" applyProtection="1">
      <alignment horizontal="center"/>
      <protection locked="0"/>
    </xf>
    <xf numFmtId="14" fontId="7" fillId="0" borderId="6" xfId="0" applyNumberFormat="1" applyFont="1" applyBorder="1" applyAlignment="1" applyProtection="1">
      <alignment horizontal="center"/>
      <protection locked="0"/>
    </xf>
    <xf numFmtId="10" fontId="7" fillId="0" borderId="6" xfId="1" applyNumberFormat="1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10" fillId="0" borderId="7" xfId="0" applyFont="1" applyBorder="1"/>
    <xf numFmtId="0" fontId="0" fillId="0" borderId="7" xfId="0" applyBorder="1"/>
    <xf numFmtId="164" fontId="7" fillId="0" borderId="7" xfId="1" applyNumberFormat="1" applyFont="1" applyBorder="1" applyAlignment="1">
      <alignment horizontal="center"/>
    </xf>
    <xf numFmtId="44" fontId="7" fillId="0" borderId="0" xfId="2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44" fontId="7" fillId="0" borderId="8" xfId="2" applyFont="1" applyBorder="1" applyAlignment="1" applyProtection="1">
      <alignment horizontal="center"/>
      <protection locked="0"/>
    </xf>
    <xf numFmtId="9" fontId="6" fillId="0" borderId="0" xfId="1" applyFont="1" applyBorder="1" applyAlignment="1" applyProtection="1">
      <alignment horizontal="center"/>
    </xf>
    <xf numFmtId="167" fontId="0" fillId="3" borderId="0" xfId="0" applyNumberFormat="1" applyFill="1"/>
    <xf numFmtId="167" fontId="7" fillId="0" borderId="0" xfId="1" applyNumberFormat="1" applyFont="1" applyBorder="1" applyAlignment="1">
      <alignment horizontal="center"/>
    </xf>
    <xf numFmtId="0" fontId="7" fillId="0" borderId="0" xfId="0" applyFont="1" applyAlignment="1" applyProtection="1">
      <alignment horizontal="center"/>
      <protection hidden="1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164" fontId="6" fillId="0" borderId="6" xfId="1" applyNumberFormat="1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167" fontId="0" fillId="3" borderId="0" xfId="0" applyNumberFormat="1" applyFill="1" applyAlignment="1">
      <alignment vertical="center"/>
    </xf>
    <xf numFmtId="44" fontId="15" fillId="0" borderId="0" xfId="1" applyNumberFormat="1" applyFont="1" applyBorder="1" applyAlignment="1" applyProtection="1">
      <alignment horizontal="center"/>
      <protection hidden="1"/>
    </xf>
    <xf numFmtId="44" fontId="10" fillId="0" borderId="6" xfId="2" applyFont="1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2" fontId="0" fillId="0" borderId="0" xfId="0" applyNumberFormat="1"/>
    <xf numFmtId="9" fontId="0" fillId="0" borderId="0" xfId="0" applyNumberFormat="1"/>
    <xf numFmtId="164" fontId="6" fillId="0" borderId="0" xfId="1" applyNumberFormat="1" applyFont="1" applyBorder="1" applyAlignment="1">
      <alignment horizontal="center" vertical="center" wrapText="1"/>
    </xf>
    <xf numFmtId="2" fontId="6" fillId="0" borderId="0" xfId="1" applyNumberFormat="1" applyFont="1" applyBorder="1" applyAlignment="1" applyProtection="1">
      <alignment horizontal="center" vertical="center" wrapText="1"/>
      <protection hidden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44" fontId="14" fillId="3" borderId="0" xfId="2" applyFont="1" applyFill="1" applyAlignment="1">
      <alignment horizontal="center"/>
    </xf>
    <xf numFmtId="0" fontId="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2" fontId="17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2" fontId="17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14" fontId="17" fillId="0" borderId="3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10" fontId="22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21" fillId="0" borderId="0" xfId="0" applyFont="1"/>
    <xf numFmtId="0" fontId="23" fillId="2" borderId="5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/>
    </xf>
    <xf numFmtId="44" fontId="20" fillId="5" borderId="4" xfId="0" applyNumberFormat="1" applyFont="1" applyFill="1" applyBorder="1" applyAlignment="1">
      <alignment horizontal="center"/>
    </xf>
    <xf numFmtId="0" fontId="24" fillId="4" borderId="4" xfId="0" applyFont="1" applyFill="1" applyBorder="1" applyAlignment="1">
      <alignment horizontal="center" vertical="center" wrapText="1"/>
    </xf>
    <xf numFmtId="14" fontId="24" fillId="4" borderId="4" xfId="0" applyNumberFormat="1" applyFont="1" applyFill="1" applyBorder="1"/>
    <xf numFmtId="2" fontId="24" fillId="4" borderId="4" xfId="0" applyNumberFormat="1" applyFont="1" applyFill="1" applyBorder="1" applyAlignment="1">
      <alignment horizontal="center"/>
    </xf>
    <xf numFmtId="166" fontId="24" fillId="4" borderId="4" xfId="0" applyNumberFormat="1" applyFont="1" applyFill="1" applyBorder="1" applyAlignment="1">
      <alignment horizontal="center"/>
    </xf>
    <xf numFmtId="165" fontId="24" fillId="4" borderId="4" xfId="0" applyNumberFormat="1" applyFont="1" applyFill="1" applyBorder="1" applyAlignment="1">
      <alignment horizontal="center"/>
    </xf>
    <xf numFmtId="44" fontId="24" fillId="4" borderId="4" xfId="2" applyFont="1" applyFill="1" applyBorder="1" applyAlignment="1">
      <alignment horizontal="center"/>
    </xf>
    <xf numFmtId="44" fontId="24" fillId="4" borderId="4" xfId="2" applyFont="1" applyFill="1" applyBorder="1" applyAlignment="1">
      <alignment horizontal="center" vertical="center" wrapText="1"/>
    </xf>
    <xf numFmtId="44" fontId="25" fillId="4" borderId="4" xfId="0" applyNumberFormat="1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14" fontId="24" fillId="6" borderId="4" xfId="0" applyNumberFormat="1" applyFont="1" applyFill="1" applyBorder="1"/>
    <xf numFmtId="166" fontId="24" fillId="6" borderId="4" xfId="0" applyNumberFormat="1" applyFont="1" applyFill="1" applyBorder="1" applyAlignment="1">
      <alignment horizontal="center"/>
    </xf>
    <xf numFmtId="165" fontId="24" fillId="6" borderId="4" xfId="0" applyNumberFormat="1" applyFont="1" applyFill="1" applyBorder="1" applyAlignment="1">
      <alignment horizontal="center"/>
    </xf>
    <xf numFmtId="44" fontId="24" fillId="6" borderId="4" xfId="2" applyFont="1" applyFill="1" applyBorder="1" applyAlignment="1">
      <alignment horizontal="center" vertical="center" wrapText="1"/>
    </xf>
    <xf numFmtId="44" fontId="26" fillId="4" borderId="4" xfId="2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horizontal="center" vertical="center" wrapText="1"/>
    </xf>
    <xf numFmtId="41" fontId="24" fillId="6" borderId="4" xfId="0" applyNumberFormat="1" applyFont="1" applyFill="1" applyBorder="1" applyAlignment="1">
      <alignment horizontal="center" vertical="center" wrapText="1"/>
    </xf>
    <xf numFmtId="41" fontId="24" fillId="4" borderId="4" xfId="0" applyNumberFormat="1" applyFont="1" applyFill="1" applyBorder="1" applyAlignment="1">
      <alignment horizontal="center" vertical="center" wrapText="1"/>
    </xf>
    <xf numFmtId="41" fontId="27" fillId="6" borderId="4" xfId="0" applyNumberFormat="1" applyFont="1" applyFill="1" applyBorder="1" applyAlignment="1">
      <alignment horizontal="center" vertical="center" wrapText="1"/>
    </xf>
    <xf numFmtId="14" fontId="27" fillId="6" borderId="4" xfId="0" applyNumberFormat="1" applyFont="1" applyFill="1" applyBorder="1"/>
    <xf numFmtId="0" fontId="27" fillId="6" borderId="4" xfId="0" applyFont="1" applyFill="1" applyBorder="1" applyAlignment="1">
      <alignment horizontal="center" vertical="center" wrapText="1"/>
    </xf>
    <xf numFmtId="14" fontId="27" fillId="0" borderId="0" xfId="0" applyNumberFormat="1" applyFont="1"/>
    <xf numFmtId="0" fontId="27" fillId="0" borderId="0" xfId="0" applyFont="1" applyAlignment="1">
      <alignment horizontal="center"/>
    </xf>
    <xf numFmtId="14" fontId="5" fillId="0" borderId="0" xfId="0" applyNumberFormat="1" applyFont="1"/>
    <xf numFmtId="10" fontId="0" fillId="3" borderId="0" xfId="1" applyNumberFormat="1" applyFont="1" applyFill="1" applyAlignment="1">
      <alignment horizontal="center"/>
    </xf>
    <xf numFmtId="164" fontId="0" fillId="3" borderId="0" xfId="1" applyNumberFormat="1" applyFont="1" applyFill="1" applyAlignment="1">
      <alignment horizontal="center"/>
    </xf>
    <xf numFmtId="44" fontId="0" fillId="3" borderId="0" xfId="0" applyNumberFormat="1" applyFill="1" applyAlignment="1">
      <alignment horizontal="center"/>
    </xf>
    <xf numFmtId="8" fontId="0" fillId="3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28" fillId="0" borderId="0" xfId="1" applyNumberFormat="1" applyFont="1" applyBorder="1" applyAlignment="1">
      <alignment horizontal="center"/>
    </xf>
    <xf numFmtId="0" fontId="29" fillId="0" borderId="0" xfId="0" applyFont="1"/>
    <xf numFmtId="0" fontId="20" fillId="5" borderId="4" xfId="0" applyFont="1" applyFill="1" applyBorder="1" applyAlignment="1">
      <alignment horizontal="center"/>
    </xf>
    <xf numFmtId="0" fontId="19" fillId="0" borderId="2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Porcentaje" xfId="1" builtinId="5"/>
  </cellStyles>
  <dxfs count="1">
    <dxf>
      <font>
        <color rgb="FFFF0000"/>
      </font>
    </dxf>
  </dxfs>
  <tableStyles count="0" defaultTableStyle="TableStyleMedium2" defaultPivotStyle="PivotStyleLight16"/>
  <colors>
    <mruColors>
      <color rgb="FFDBC998"/>
      <color rgb="FFE5C784"/>
      <color rgb="FFEEE6CE"/>
      <color rgb="FFF4D796"/>
      <color rgb="FFFFDA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5</xdr:row>
      <xdr:rowOff>130464</xdr:rowOff>
    </xdr:to>
    <xdr:pic>
      <xdr:nvPicPr>
        <xdr:cNvPr id="4" name="2 Imagen">
          <a:extLst>
            <a:ext uri="{FF2B5EF4-FFF2-40B4-BE49-F238E27FC236}">
              <a16:creationId xmlns:a16="http://schemas.microsoft.com/office/drawing/2014/main" id="{6F0651DE-7B01-45FE-BB29-1004426A6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896"/>
        <a:stretch>
          <a:fillRect/>
        </a:stretch>
      </xdr:blipFill>
      <xdr:spPr bwMode="auto">
        <a:xfrm>
          <a:off x="0" y="0"/>
          <a:ext cx="7977871" cy="10341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1552448</xdr:colOff>
      <xdr:row>59</xdr:row>
      <xdr:rowOff>98709</xdr:rowOff>
    </xdr:from>
    <xdr:to>
      <xdr:col>7</xdr:col>
      <xdr:colOff>520192</xdr:colOff>
      <xdr:row>64</xdr:row>
      <xdr:rowOff>105664</xdr:rowOff>
    </xdr:to>
    <xdr:pic>
      <xdr:nvPicPr>
        <xdr:cNvPr id="3" name="Picture 47" descr="decoration_01">
          <a:extLst>
            <a:ext uri="{FF2B5EF4-FFF2-40B4-BE49-F238E27FC236}">
              <a16:creationId xmlns:a16="http://schemas.microsoft.com/office/drawing/2014/main" id="{6CB4DC11-A0DE-45F9-956D-800A4381E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9296" y="10372501"/>
          <a:ext cx="910336" cy="94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131674</xdr:colOff>
      <xdr:row>2</xdr:row>
      <xdr:rowOff>2546</xdr:rowOff>
    </xdr:from>
    <xdr:to>
      <xdr:col>15</xdr:col>
      <xdr:colOff>563589</xdr:colOff>
      <xdr:row>4</xdr:row>
      <xdr:rowOff>50253</xdr:rowOff>
    </xdr:to>
    <xdr:pic>
      <xdr:nvPicPr>
        <xdr:cNvPr id="2" name="Imagen 3" descr="logo">
          <a:extLst>
            <a:ext uri="{FF2B5EF4-FFF2-40B4-BE49-F238E27FC236}">
              <a16:creationId xmlns:a16="http://schemas.microsoft.com/office/drawing/2014/main" id="{9229DCF9-D145-4CF8-AE27-A29C786D5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0724" y="368306"/>
          <a:ext cx="2026628" cy="413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8DDF-0C86-47BE-BC1E-061B5353FDBE}">
  <sheetPr codeName="Hoja2"/>
  <dimension ref="A1:M20"/>
  <sheetViews>
    <sheetView workbookViewId="0">
      <selection activeCell="A20" sqref="A20"/>
    </sheetView>
  </sheetViews>
  <sheetFormatPr baseColWidth="10" defaultColWidth="11.44140625" defaultRowHeight="14.4" x14ac:dyDescent="0.3"/>
  <cols>
    <col min="1" max="1" width="21.88671875" bestFit="1" customWidth="1"/>
    <col min="2" max="2" width="15.33203125" bestFit="1" customWidth="1"/>
    <col min="3" max="5" width="15.33203125" customWidth="1"/>
    <col min="8" max="8" width="11.44140625" style="1"/>
    <col min="9" max="9" width="22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2</v>
      </c>
      <c r="C2">
        <v>3</v>
      </c>
      <c r="D2">
        <v>2</v>
      </c>
      <c r="E2">
        <v>3</v>
      </c>
      <c r="F2" s="2">
        <v>0.5</v>
      </c>
      <c r="G2">
        <v>30</v>
      </c>
      <c r="H2" s="1">
        <v>15</v>
      </c>
      <c r="I2" t="s">
        <v>14</v>
      </c>
      <c r="J2" t="s">
        <v>15</v>
      </c>
      <c r="K2">
        <v>100</v>
      </c>
      <c r="M2">
        <f>IF(AND(Cáratula!$G$9=A2,DAY(Cáratula!$G$37)&lt;H2),2,IF(AND(Cáratula!$G$9=A2,DAY(Cáratula!$G$37))&gt;=H2,1,0))</f>
        <v>1</v>
      </c>
    </row>
    <row r="3" spans="1:13" x14ac:dyDescent="0.3">
      <c r="A3" t="s">
        <v>16</v>
      </c>
      <c r="B3">
        <v>2</v>
      </c>
      <c r="C3">
        <v>3</v>
      </c>
      <c r="D3">
        <v>2</v>
      </c>
      <c r="E3">
        <v>3</v>
      </c>
      <c r="F3" s="2">
        <v>0.47</v>
      </c>
      <c r="G3">
        <v>30</v>
      </c>
      <c r="H3" s="1">
        <v>15</v>
      </c>
      <c r="I3" t="s">
        <v>14</v>
      </c>
      <c r="J3" t="s">
        <v>15</v>
      </c>
      <c r="K3">
        <f>IF(AND(Cáratula!G9="Ejército_del_Perú",Cáratula!G13="Suboficial Tercera"),100,0)</f>
        <v>0</v>
      </c>
      <c r="M3">
        <f>IF(AND(Cáratula!$G$9=A3,DAY(Cáratula!$G$37)&lt;H3),2,IF(AND(Cáratula!$G$9=A3,DAY(Cáratula!$G$37))&gt;=H3,1,0))</f>
        <v>1</v>
      </c>
    </row>
    <row r="4" spans="1:13" x14ac:dyDescent="0.3">
      <c r="A4" t="s">
        <v>17</v>
      </c>
      <c r="B4">
        <v>2</v>
      </c>
      <c r="C4">
        <v>3</v>
      </c>
      <c r="D4">
        <v>2</v>
      </c>
      <c r="E4">
        <v>3</v>
      </c>
      <c r="F4" s="2">
        <v>0.45</v>
      </c>
      <c r="G4">
        <v>30</v>
      </c>
      <c r="H4" s="1">
        <v>15</v>
      </c>
      <c r="I4" t="s">
        <v>14</v>
      </c>
      <c r="J4" t="s">
        <v>15</v>
      </c>
      <c r="M4">
        <f>IF(AND(Cáratula!$G$9=A4,DAY(Cáratula!$G$37)&lt;H4),2,IF(AND(Cáratula!$G$9=A4,DAY(Cáratula!$G$37))&gt;=H4,1,0))</f>
        <v>1</v>
      </c>
    </row>
    <row r="5" spans="1:13" x14ac:dyDescent="0.3">
      <c r="A5" t="s">
        <v>18</v>
      </c>
      <c r="B5">
        <v>1</v>
      </c>
      <c r="C5">
        <v>2</v>
      </c>
      <c r="D5">
        <v>1</v>
      </c>
      <c r="E5">
        <v>2</v>
      </c>
      <c r="F5" s="54">
        <v>0.5</v>
      </c>
      <c r="G5">
        <v>30</v>
      </c>
      <c r="H5" s="1">
        <v>10</v>
      </c>
      <c r="I5" t="s">
        <v>19</v>
      </c>
      <c r="M5">
        <f>IF(AND(Cáratula!$G$9=A5,DAY(Cáratula!$G$37)&lt;H5),1,IF(AND(Cáratula!$G$9=A5,DAY(Cáratula!$G$37))&gt;=H5,0,0))</f>
        <v>0</v>
      </c>
    </row>
    <row r="6" spans="1:13" x14ac:dyDescent="0.3">
      <c r="A6" t="s">
        <v>20</v>
      </c>
      <c r="B6">
        <v>1</v>
      </c>
      <c r="C6">
        <v>2</v>
      </c>
      <c r="D6">
        <v>1</v>
      </c>
      <c r="E6">
        <v>2</v>
      </c>
      <c r="F6" s="54">
        <v>0.5</v>
      </c>
      <c r="G6">
        <v>30</v>
      </c>
      <c r="H6" s="1">
        <v>15</v>
      </c>
      <c r="I6" t="s">
        <v>19</v>
      </c>
      <c r="K6">
        <v>50</v>
      </c>
      <c r="M6">
        <f>IF(AND(Cáratula!$G$9=A6,DAY(Cáratula!$G$37)&lt;H6),1,IF(AND(Cáratula!$G$9=A6,DAY(Cáratula!$G$37))&gt;=H6,0,0))</f>
        <v>0</v>
      </c>
    </row>
    <row r="7" spans="1:13" x14ac:dyDescent="0.3">
      <c r="A7" t="s">
        <v>21</v>
      </c>
      <c r="B7">
        <v>1</v>
      </c>
      <c r="C7">
        <v>2</v>
      </c>
      <c r="D7">
        <v>1</v>
      </c>
      <c r="E7">
        <v>2</v>
      </c>
      <c r="F7" s="54">
        <v>0.5</v>
      </c>
      <c r="G7">
        <v>30</v>
      </c>
      <c r="H7" s="1">
        <v>15</v>
      </c>
      <c r="I7" t="s">
        <v>19</v>
      </c>
      <c r="M7">
        <f>IF(AND(Cáratula!$G$9=A7,DAY(Cáratula!$G$37)&lt;H7),1,IF(AND(Cáratula!$G$9=A7,DAY(Cáratula!$G$37))&gt;=H7,0,0))</f>
        <v>0</v>
      </c>
    </row>
    <row r="8" spans="1:13" x14ac:dyDescent="0.3">
      <c r="A8" t="s">
        <v>22</v>
      </c>
      <c r="B8">
        <v>1</v>
      </c>
      <c r="C8">
        <v>2</v>
      </c>
      <c r="D8">
        <v>1</v>
      </c>
      <c r="E8">
        <v>2</v>
      </c>
      <c r="F8" s="54">
        <v>0.47</v>
      </c>
      <c r="G8">
        <v>30</v>
      </c>
      <c r="H8" s="1">
        <v>17</v>
      </c>
      <c r="I8" t="s">
        <v>19</v>
      </c>
      <c r="M8">
        <f>IF(AND(Cáratula!$G$9=A8,DAY(Cáratula!$G$37)&lt;H8),1,IF(AND(Cáratula!$G$9=A8,DAY(Cáratula!$G$37))&gt;=H8,0,0))</f>
        <v>0</v>
      </c>
    </row>
    <row r="9" spans="1:13" x14ac:dyDescent="0.3">
      <c r="A9" t="s">
        <v>23</v>
      </c>
      <c r="B9">
        <v>1</v>
      </c>
      <c r="C9">
        <v>2</v>
      </c>
      <c r="D9">
        <v>1</v>
      </c>
      <c r="E9">
        <v>2</v>
      </c>
      <c r="F9" s="54">
        <v>0.5</v>
      </c>
      <c r="G9">
        <v>30</v>
      </c>
      <c r="H9" s="1">
        <v>17</v>
      </c>
      <c r="I9" t="s">
        <v>19</v>
      </c>
      <c r="M9">
        <f>IF(AND(Cáratula!$G$9=A9,DAY(Cáratula!$G$37)&lt;H9),1,IF(AND(Cáratula!$G$9=A9,DAY(Cáratula!$G$37))&gt;=H9,0,0))</f>
        <v>0</v>
      </c>
    </row>
    <row r="10" spans="1:13" x14ac:dyDescent="0.3">
      <c r="A10" t="s">
        <v>24</v>
      </c>
      <c r="B10">
        <v>1</v>
      </c>
      <c r="C10">
        <v>2</v>
      </c>
      <c r="D10">
        <v>1</v>
      </c>
      <c r="E10">
        <v>2</v>
      </c>
      <c r="F10" s="54">
        <v>0.3</v>
      </c>
      <c r="G10">
        <v>30</v>
      </c>
      <c r="H10" s="1">
        <v>17</v>
      </c>
      <c r="I10" t="s">
        <v>19</v>
      </c>
      <c r="M10">
        <f>IF(AND(Cáratula!$G$9=A10,DAY(Cáratula!$G$37)&lt;H10),1,IF(AND(Cáratula!$G$9=A10,DAY(Cáratula!$G$37))&gt;=H10,0,0))</f>
        <v>0</v>
      </c>
    </row>
    <row r="11" spans="1:13" x14ac:dyDescent="0.3">
      <c r="A11" t="s">
        <v>25</v>
      </c>
      <c r="B11">
        <v>1</v>
      </c>
      <c r="C11">
        <v>2</v>
      </c>
      <c r="D11">
        <v>1</v>
      </c>
      <c r="E11">
        <v>2</v>
      </c>
      <c r="F11" s="54">
        <v>0.5</v>
      </c>
      <c r="G11">
        <v>30</v>
      </c>
      <c r="H11" s="1">
        <v>15</v>
      </c>
      <c r="I11" t="s">
        <v>19</v>
      </c>
      <c r="K11">
        <v>50</v>
      </c>
      <c r="M11">
        <f>IF(AND(Cáratula!$G$9=A11,DAY(Cáratula!$G$37)&lt;H11),1,IF(AND(Cáratula!$G$9=A11,DAY(Cáratula!$G$37))&gt;=H11,0,0))</f>
        <v>0</v>
      </c>
    </row>
    <row r="12" spans="1:13" x14ac:dyDescent="0.3">
      <c r="A12" t="s">
        <v>26</v>
      </c>
      <c r="B12">
        <v>1</v>
      </c>
      <c r="C12">
        <v>2</v>
      </c>
      <c r="D12">
        <v>1</v>
      </c>
      <c r="E12">
        <v>2</v>
      </c>
      <c r="F12" s="54">
        <v>0.5</v>
      </c>
      <c r="G12">
        <v>30</v>
      </c>
      <c r="H12" s="1">
        <v>15</v>
      </c>
      <c r="I12" t="s">
        <v>19</v>
      </c>
      <c r="L12" s="54">
        <v>0.5</v>
      </c>
      <c r="M12">
        <f>IF(AND(Cáratula!$G$9=A12,DAY(Cáratula!$G$37)&lt;H12),1,IF(AND(Cáratula!$G$9=A12,DAY(Cáratula!$G$37))&gt;=H12,0,0))</f>
        <v>0</v>
      </c>
    </row>
    <row r="13" spans="1:13" x14ac:dyDescent="0.3">
      <c r="A13" t="s">
        <v>27</v>
      </c>
      <c r="B13">
        <v>1</v>
      </c>
      <c r="C13">
        <v>2</v>
      </c>
      <c r="D13">
        <f>IF(G13&gt;H13,IF(DAY(Cáratula!$G$37)&gt;G13,B13+1,B13+0),IF(DAY(Cáratula!$G$37)&gt;G13,B13+1,B13))</f>
        <v>1</v>
      </c>
      <c r="E13">
        <f>IF(G13&gt;H13,IF(DAY(Cáratula!$G$37)&gt;G13,B13+2,B13+1),IF(DAY(Cáratula!$G$37)&gt;G13,B13+1,B13))</f>
        <v>2</v>
      </c>
      <c r="F13" s="54">
        <v>0.5</v>
      </c>
      <c r="G13">
        <v>25</v>
      </c>
      <c r="H13" s="1">
        <v>17</v>
      </c>
      <c r="I13" t="s">
        <v>19</v>
      </c>
      <c r="M13" t="str">
        <f>IF(Cáratula!$G$9&lt;&gt;A13,"",IF(DAY(Cáratula!$G$37)&lt;H13,1,IF(AND(DAY(Cáratula!$G$37)&gt;=H13,DAY(Cáratula!$G$37)&lt;G13),0,IF(DAY(Cáratula!$G$37)&gt;=G13,1,""))))</f>
        <v/>
      </c>
    </row>
    <row r="14" spans="1:13" x14ac:dyDescent="0.3">
      <c r="A14" t="s">
        <v>28</v>
      </c>
      <c r="B14">
        <v>2</v>
      </c>
      <c r="C14">
        <v>3</v>
      </c>
      <c r="D14">
        <v>2</v>
      </c>
      <c r="E14">
        <v>3</v>
      </c>
      <c r="F14" s="54">
        <v>0.5</v>
      </c>
      <c r="G14">
        <v>30</v>
      </c>
      <c r="H14" s="1">
        <v>17</v>
      </c>
      <c r="I14" t="s">
        <v>19</v>
      </c>
      <c r="K14">
        <f>IF(AND(Cáratula!G9="Fuerza_Aerea_del_Perú",Cáratula!G13="Personal Administrativo"),25,35)</f>
        <v>35</v>
      </c>
      <c r="M14">
        <f>IF(AND(Cáratula!$G$9=A14,DAY(Cáratula!$G$37)&lt;H14),2,IF(AND(Cáratula!$G$9=A14,DAY(Cáratula!$G$37))&gt;=H14,1,0))</f>
        <v>1</v>
      </c>
    </row>
    <row r="15" spans="1:13" x14ac:dyDescent="0.3">
      <c r="A15" t="s">
        <v>29</v>
      </c>
      <c r="B15">
        <v>1</v>
      </c>
      <c r="C15">
        <v>2</v>
      </c>
      <c r="D15">
        <f>IF(G15&gt;H15,IF(DAY(Cáratula!$G$37)&gt;G15,B15+1,B15+0),IF(DAY(Cáratula!$G$37)&gt;G15,B15+1,B15))</f>
        <v>1</v>
      </c>
      <c r="E15">
        <f>IF(G15&gt;H15,IF(DAY(Cáratula!$G$37)&gt;G15,B15+2,B15+1),IF(DAY(Cáratula!$G$37)&gt;G15,B15+1,B15))</f>
        <v>2</v>
      </c>
      <c r="F15" s="54">
        <v>0.5</v>
      </c>
      <c r="G15">
        <v>26</v>
      </c>
      <c r="H15" s="1">
        <v>15</v>
      </c>
      <c r="I15" t="s">
        <v>19</v>
      </c>
      <c r="M15" t="str">
        <f>IF(Cáratula!$G$9&lt;&gt;A15,"",IF(DAY(Cáratula!$G$37)&lt;H15,1,IF(AND(DAY(Cáratula!$G$37)&gt;=H15,DAY(Cáratula!$G$37)&lt;G15),0,IF(DAY(Cáratula!$G$37)&gt;=G15,1,""))))</f>
        <v/>
      </c>
    </row>
    <row r="16" spans="1:13" x14ac:dyDescent="0.3">
      <c r="A16" t="s">
        <v>30</v>
      </c>
      <c r="B16">
        <v>1</v>
      </c>
      <c r="C16">
        <v>2</v>
      </c>
      <c r="D16">
        <v>1</v>
      </c>
      <c r="E16">
        <v>2</v>
      </c>
      <c r="F16" s="54">
        <v>0.5</v>
      </c>
      <c r="G16">
        <v>30</v>
      </c>
      <c r="H16" s="1">
        <v>15</v>
      </c>
      <c r="I16" t="s">
        <v>19</v>
      </c>
      <c r="M16">
        <f>IF(AND(Cáratula!$G$9=A16,DAY(Cáratula!$G$37)&lt;H16),1,IF(AND(Cáratula!$G$9=A16,DAY(Cáratula!$G$37))&gt;=H16,0,0))</f>
        <v>0</v>
      </c>
    </row>
    <row r="17" spans="1:13" x14ac:dyDescent="0.3">
      <c r="A17" t="s">
        <v>31</v>
      </c>
      <c r="B17">
        <v>1</v>
      </c>
      <c r="C17">
        <v>2</v>
      </c>
      <c r="D17">
        <v>1</v>
      </c>
      <c r="E17">
        <v>2</v>
      </c>
      <c r="F17" s="54">
        <v>0.5</v>
      </c>
      <c r="G17">
        <v>30</v>
      </c>
      <c r="H17" s="1">
        <v>15</v>
      </c>
      <c r="I17" t="s">
        <v>19</v>
      </c>
      <c r="M17">
        <f>IF(AND(Cáratula!$G$9=A17,DAY(Cáratula!$G$37)&lt;H17),1,IF(AND(Cáratula!$G$9=A17,DAY(Cáratula!$G$37))&gt;=H17,0,0))</f>
        <v>0</v>
      </c>
    </row>
    <row r="18" spans="1:13" x14ac:dyDescent="0.3">
      <c r="A18" t="s">
        <v>32</v>
      </c>
      <c r="B18">
        <v>1</v>
      </c>
      <c r="C18">
        <v>2</v>
      </c>
      <c r="D18">
        <f>IF(G18&gt;H18,IF(DAY(Cáratula!$G$37)&gt;G18,B18+1,B18+0),IF(DAY(Cáratula!$G$37)&gt;G18,B18+1,B18))</f>
        <v>1</v>
      </c>
      <c r="E18">
        <f>IF(G18&gt;H18,IF(DAY(Cáratula!$G$37)&gt;G18,B18+2,B18+1),IF(DAY(Cáratula!$G$37)&gt;G18,B18+1,B18))</f>
        <v>2</v>
      </c>
      <c r="F18" s="54">
        <v>0.5</v>
      </c>
      <c r="G18">
        <v>25</v>
      </c>
      <c r="H18" s="1">
        <v>17</v>
      </c>
      <c r="I18" t="s">
        <v>19</v>
      </c>
      <c r="K18">
        <f>IF(AND(Cáratula!G9="Red_Salud_APLAO",Cáratula!G13="Nombrado Asistencial Médico"),150,IF(AND(Cáratula!G9="Red_Salud_APLAO",Cáratula!G13="Nombrado Profesional de Salud"),80,IF(AND(Cáratula!G9="Red_Salud_APLAO",Cáratula!G13="Nombrado Técnico Asistencial"),50,0)))</f>
        <v>0</v>
      </c>
      <c r="M18" t="str">
        <f>IF(Cáratula!$G$9&lt;&gt;A18,"",IF(DAY(Cáratula!$G$37)&lt;H18,1,IF(AND(DAY(Cáratula!$G$37)&gt;=H18,DAY(Cáratula!$G$37)&lt;G18),0,IF(DAY(Cáratula!$G$37)&gt;=G18,1,""))))</f>
        <v/>
      </c>
    </row>
    <row r="19" spans="1:13" x14ac:dyDescent="0.3">
      <c r="A19" t="s">
        <v>33</v>
      </c>
      <c r="B19">
        <v>1</v>
      </c>
      <c r="C19">
        <v>2</v>
      </c>
      <c r="D19">
        <f>IF(G19&gt;H19,IF(DAY(Cáratula!$G$37)&gt;G19,B19+1,B19+0),IF(DAY(Cáratula!$G$37)&gt;G19,B19+1,B19))</f>
        <v>1</v>
      </c>
      <c r="E19">
        <f>IF(G19&gt;H19,IF(DAY(Cáratula!$G$37)&gt;G19,B19+2,B19+1),IF(DAY(Cáratula!$G$37)&gt;G19,B19+1,B19))</f>
        <v>2</v>
      </c>
      <c r="F19" s="54">
        <v>0.5</v>
      </c>
      <c r="G19">
        <v>28</v>
      </c>
      <c r="H19" s="1">
        <v>15</v>
      </c>
      <c r="I19" t="s">
        <v>19</v>
      </c>
      <c r="M19" t="str">
        <f>IF(Cáratula!$G$9&lt;&gt;A19,"",IF(DAY(Cáratula!$G$37)&lt;H19,1,IF(AND(DAY(Cáratula!$G$37)&gt;=H19,DAY(Cáratula!$G$37)&lt;G19),0,IF(DAY(Cáratula!$G$37)&gt;=G19,1,""))))</f>
        <v/>
      </c>
    </row>
    <row r="20" spans="1:13" x14ac:dyDescent="0.3">
      <c r="A20" t="s">
        <v>34</v>
      </c>
      <c r="B20">
        <v>1</v>
      </c>
      <c r="C20">
        <v>2</v>
      </c>
      <c r="D20">
        <v>1</v>
      </c>
      <c r="E20">
        <v>2</v>
      </c>
      <c r="F20" s="54">
        <v>0.5</v>
      </c>
      <c r="G20">
        <v>30</v>
      </c>
      <c r="H20" s="1">
        <v>15</v>
      </c>
      <c r="I20" t="s">
        <v>19</v>
      </c>
      <c r="M20">
        <f>IF(AND(Cáratula!$G$9=A20,DAY(Cáratula!$G$37)&lt;H20),1,IF(AND(Cáratula!$G$9=A20,DAY(Cáratula!$G$37))&gt;=H20,0,0))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9A74-FD37-4EAF-8274-741B4D004E6D}">
  <sheetPr codeName="Hoja3"/>
  <dimension ref="A1:AT18"/>
  <sheetViews>
    <sheetView topLeftCell="AJ1" workbookViewId="0">
      <selection activeCell="AT5" sqref="AT5"/>
    </sheetView>
  </sheetViews>
  <sheetFormatPr baseColWidth="10" defaultColWidth="11.44140625" defaultRowHeight="14.4" x14ac:dyDescent="0.3"/>
  <cols>
    <col min="1" max="1" width="19.109375" bestFit="1" customWidth="1"/>
    <col min="2" max="2" width="22.44140625" bestFit="1" customWidth="1"/>
    <col min="5" max="5" width="25.109375" bestFit="1" customWidth="1"/>
    <col min="10" max="10" width="21.109375" bestFit="1" customWidth="1"/>
  </cols>
  <sheetData>
    <row r="1" spans="1:46" x14ac:dyDescent="0.3">
      <c r="A1" t="s">
        <v>16</v>
      </c>
      <c r="B1" t="s">
        <v>14</v>
      </c>
      <c r="C1" t="s">
        <v>15</v>
      </c>
      <c r="E1" t="s">
        <v>17</v>
      </c>
      <c r="F1" t="s">
        <v>14</v>
      </c>
      <c r="G1" t="s">
        <v>35</v>
      </c>
      <c r="H1" t="s">
        <v>36</v>
      </c>
      <c r="J1" t="s">
        <v>13</v>
      </c>
      <c r="K1" t="s">
        <v>14</v>
      </c>
      <c r="L1" t="s">
        <v>15</v>
      </c>
      <c r="N1" t="s">
        <v>18</v>
      </c>
      <c r="P1" t="s">
        <v>20</v>
      </c>
      <c r="R1" t="s">
        <v>21</v>
      </c>
      <c r="T1" t="s">
        <v>37</v>
      </c>
      <c r="V1" t="s">
        <v>22</v>
      </c>
      <c r="X1" t="s">
        <v>23</v>
      </c>
      <c r="Z1" t="s">
        <v>24</v>
      </c>
      <c r="AB1" t="s">
        <v>25</v>
      </c>
      <c r="AD1" t="s">
        <v>26</v>
      </c>
      <c r="AF1" t="s">
        <v>27</v>
      </c>
      <c r="AH1" t="s">
        <v>28</v>
      </c>
      <c r="AJ1" t="s">
        <v>29</v>
      </c>
      <c r="AL1" t="s">
        <v>30</v>
      </c>
      <c r="AN1" t="s">
        <v>31</v>
      </c>
      <c r="AP1" t="s">
        <v>32</v>
      </c>
      <c r="AR1" t="s">
        <v>33</v>
      </c>
      <c r="AT1" t="s">
        <v>34</v>
      </c>
    </row>
    <row r="2" spans="1:46" x14ac:dyDescent="0.3">
      <c r="A2" t="s">
        <v>38</v>
      </c>
      <c r="B2">
        <v>10630.52</v>
      </c>
      <c r="C2">
        <v>2750</v>
      </c>
      <c r="E2" t="s">
        <v>39</v>
      </c>
      <c r="F2">
        <v>10630.52</v>
      </c>
      <c r="G2">
        <v>2750</v>
      </c>
      <c r="H2">
        <v>3250</v>
      </c>
      <c r="J2" t="s">
        <v>40</v>
      </c>
      <c r="K2">
        <v>10630.52</v>
      </c>
      <c r="L2">
        <v>2750</v>
      </c>
      <c r="N2" t="s">
        <v>41</v>
      </c>
      <c r="P2" t="s">
        <v>42</v>
      </c>
      <c r="R2" t="s">
        <v>42</v>
      </c>
      <c r="T2" t="s">
        <v>43</v>
      </c>
      <c r="V2" t="s">
        <v>44</v>
      </c>
      <c r="X2" t="s">
        <v>45</v>
      </c>
      <c r="Z2" t="s">
        <v>46</v>
      </c>
      <c r="AB2" t="s">
        <v>42</v>
      </c>
      <c r="AD2" t="s">
        <v>44</v>
      </c>
      <c r="AF2" t="s">
        <v>44</v>
      </c>
      <c r="AH2" t="s">
        <v>39</v>
      </c>
      <c r="AJ2" t="s">
        <v>47</v>
      </c>
      <c r="AL2" t="s">
        <v>44</v>
      </c>
      <c r="AN2" t="s">
        <v>48</v>
      </c>
      <c r="AP2" t="s">
        <v>49</v>
      </c>
      <c r="AR2" t="s">
        <v>48</v>
      </c>
      <c r="AT2" t="s">
        <v>50</v>
      </c>
    </row>
    <row r="3" spans="1:46" x14ac:dyDescent="0.3">
      <c r="A3" t="s">
        <v>51</v>
      </c>
      <c r="B3">
        <v>10370.07</v>
      </c>
      <c r="C3">
        <v>2550</v>
      </c>
      <c r="E3" t="s">
        <v>52</v>
      </c>
      <c r="F3">
        <v>10370.07</v>
      </c>
      <c r="G3">
        <v>2550</v>
      </c>
      <c r="H3">
        <v>2700</v>
      </c>
      <c r="J3" t="s">
        <v>53</v>
      </c>
      <c r="K3">
        <v>10370.07</v>
      </c>
      <c r="L3">
        <v>2550</v>
      </c>
      <c r="N3" t="s">
        <v>54</v>
      </c>
      <c r="P3" t="s">
        <v>55</v>
      </c>
      <c r="R3" t="s">
        <v>55</v>
      </c>
      <c r="T3" t="s">
        <v>56</v>
      </c>
      <c r="V3" t="s">
        <v>41</v>
      </c>
      <c r="X3" t="s">
        <v>57</v>
      </c>
      <c r="AB3" t="s">
        <v>55</v>
      </c>
      <c r="AD3" t="s">
        <v>41</v>
      </c>
      <c r="AF3" t="s">
        <v>41</v>
      </c>
      <c r="AH3" t="s">
        <v>58</v>
      </c>
      <c r="AJ3" t="s">
        <v>59</v>
      </c>
      <c r="AL3" t="s">
        <v>46</v>
      </c>
      <c r="AN3" t="s">
        <v>60</v>
      </c>
      <c r="AP3" t="s">
        <v>61</v>
      </c>
      <c r="AR3" t="s">
        <v>60</v>
      </c>
      <c r="AT3" t="s">
        <v>41</v>
      </c>
    </row>
    <row r="4" spans="1:46" x14ac:dyDescent="0.3">
      <c r="A4" t="s">
        <v>62</v>
      </c>
      <c r="B4">
        <v>8568.2000000000007</v>
      </c>
      <c r="C4">
        <v>2200</v>
      </c>
      <c r="E4" t="s">
        <v>62</v>
      </c>
      <c r="F4">
        <v>8568.2000000000007</v>
      </c>
      <c r="G4">
        <v>2200</v>
      </c>
      <c r="H4">
        <v>2150</v>
      </c>
      <c r="J4" t="s">
        <v>63</v>
      </c>
      <c r="K4">
        <v>8568.2000000000007</v>
      </c>
      <c r="L4">
        <v>2200</v>
      </c>
      <c r="P4" t="s">
        <v>64</v>
      </c>
      <c r="R4" t="s">
        <v>64</v>
      </c>
      <c r="V4" t="s">
        <v>65</v>
      </c>
      <c r="X4" t="s">
        <v>41</v>
      </c>
      <c r="AB4" t="s">
        <v>64</v>
      </c>
      <c r="AH4" t="s">
        <v>62</v>
      </c>
      <c r="AJ4" t="s">
        <v>66</v>
      </c>
      <c r="AL4" t="s">
        <v>41</v>
      </c>
      <c r="AN4" t="s">
        <v>41</v>
      </c>
      <c r="AP4" t="s">
        <v>67</v>
      </c>
      <c r="AR4" t="s">
        <v>41</v>
      </c>
    </row>
    <row r="5" spans="1:46" x14ac:dyDescent="0.3">
      <c r="A5" t="s">
        <v>68</v>
      </c>
      <c r="B5">
        <v>5305.69</v>
      </c>
      <c r="C5">
        <v>2200</v>
      </c>
      <c r="E5" t="s">
        <v>69</v>
      </c>
      <c r="F5">
        <v>5305.69</v>
      </c>
      <c r="G5">
        <v>2200</v>
      </c>
      <c r="H5">
        <v>2000</v>
      </c>
      <c r="J5" t="s">
        <v>70</v>
      </c>
      <c r="K5">
        <v>5305.69</v>
      </c>
      <c r="L5">
        <v>2200</v>
      </c>
      <c r="P5" t="s">
        <v>71</v>
      </c>
      <c r="R5" t="s">
        <v>71</v>
      </c>
      <c r="AB5" t="s">
        <v>71</v>
      </c>
      <c r="AH5" t="s">
        <v>69</v>
      </c>
      <c r="AP5" t="s">
        <v>72</v>
      </c>
    </row>
    <row r="6" spans="1:46" x14ac:dyDescent="0.3">
      <c r="A6" t="s">
        <v>73</v>
      </c>
      <c r="B6">
        <v>4035.35</v>
      </c>
      <c r="C6">
        <v>1800</v>
      </c>
      <c r="E6" t="s">
        <v>73</v>
      </c>
      <c r="F6">
        <v>4035.35</v>
      </c>
      <c r="G6">
        <v>1800</v>
      </c>
      <c r="H6">
        <v>1750</v>
      </c>
      <c r="J6" t="s">
        <v>74</v>
      </c>
      <c r="K6">
        <v>4035.35</v>
      </c>
      <c r="L6">
        <v>1800</v>
      </c>
      <c r="P6" t="s">
        <v>41</v>
      </c>
      <c r="R6" t="s">
        <v>75</v>
      </c>
      <c r="AB6" t="s">
        <v>41</v>
      </c>
      <c r="AH6" t="s">
        <v>58</v>
      </c>
    </row>
    <row r="7" spans="1:46" x14ac:dyDescent="0.3">
      <c r="A7" t="s">
        <v>76</v>
      </c>
      <c r="B7">
        <v>3353.93</v>
      </c>
      <c r="C7">
        <v>1650</v>
      </c>
      <c r="E7" t="s">
        <v>76</v>
      </c>
      <c r="F7">
        <v>3353.93</v>
      </c>
      <c r="G7">
        <v>1650</v>
      </c>
      <c r="H7">
        <v>1750</v>
      </c>
      <c r="J7" t="s">
        <v>77</v>
      </c>
      <c r="K7">
        <v>3353.93</v>
      </c>
      <c r="L7">
        <v>1650</v>
      </c>
      <c r="R7" t="s">
        <v>78</v>
      </c>
      <c r="AH7" t="s">
        <v>79</v>
      </c>
    </row>
    <row r="8" spans="1:46" x14ac:dyDescent="0.3">
      <c r="A8" t="s">
        <v>80</v>
      </c>
      <c r="B8">
        <v>2800.08</v>
      </c>
      <c r="C8">
        <v>1650</v>
      </c>
      <c r="E8" t="s">
        <v>80</v>
      </c>
      <c r="F8">
        <v>2800.08</v>
      </c>
      <c r="G8">
        <v>1650</v>
      </c>
      <c r="H8">
        <v>1650</v>
      </c>
      <c r="J8" t="s">
        <v>81</v>
      </c>
      <c r="K8">
        <v>2800.08</v>
      </c>
      <c r="L8">
        <v>1650</v>
      </c>
      <c r="R8" t="s">
        <v>82</v>
      </c>
      <c r="AH8" t="s">
        <v>80</v>
      </c>
    </row>
    <row r="9" spans="1:46" x14ac:dyDescent="0.3">
      <c r="A9" t="s">
        <v>83</v>
      </c>
      <c r="B9">
        <v>2734.17</v>
      </c>
      <c r="C9">
        <v>1450</v>
      </c>
      <c r="E9" t="s">
        <v>84</v>
      </c>
      <c r="F9">
        <v>2734.17</v>
      </c>
      <c r="G9">
        <v>1450</v>
      </c>
      <c r="H9">
        <v>1500</v>
      </c>
      <c r="J9" t="s">
        <v>85</v>
      </c>
      <c r="K9">
        <v>2734.17</v>
      </c>
      <c r="L9">
        <v>1450</v>
      </c>
      <c r="R9" t="s">
        <v>86</v>
      </c>
      <c r="AH9" t="s">
        <v>84</v>
      </c>
    </row>
    <row r="10" spans="1:46" x14ac:dyDescent="0.3">
      <c r="A10" t="s">
        <v>87</v>
      </c>
      <c r="B10">
        <v>3309.28</v>
      </c>
      <c r="C10">
        <v>1650</v>
      </c>
      <c r="E10" t="s">
        <v>88</v>
      </c>
      <c r="F10">
        <v>3309.28</v>
      </c>
      <c r="G10">
        <v>1650</v>
      </c>
      <c r="H10">
        <v>1750</v>
      </c>
      <c r="J10" t="s">
        <v>89</v>
      </c>
      <c r="K10">
        <v>3309.28</v>
      </c>
      <c r="L10">
        <v>1650</v>
      </c>
      <c r="AH10" t="s">
        <v>90</v>
      </c>
    </row>
    <row r="11" spans="1:46" x14ac:dyDescent="0.3">
      <c r="A11" t="s">
        <v>91</v>
      </c>
      <c r="B11">
        <v>3175.59</v>
      </c>
      <c r="C11">
        <v>1650</v>
      </c>
      <c r="E11" t="s">
        <v>92</v>
      </c>
      <c r="F11">
        <v>3175.59</v>
      </c>
      <c r="G11">
        <v>1650</v>
      </c>
      <c r="H11">
        <v>1650</v>
      </c>
      <c r="J11" t="s">
        <v>93</v>
      </c>
      <c r="K11">
        <v>3175.59</v>
      </c>
      <c r="L11">
        <v>1650</v>
      </c>
      <c r="AH11" t="s">
        <v>94</v>
      </c>
    </row>
    <row r="12" spans="1:46" x14ac:dyDescent="0.3">
      <c r="A12" t="s">
        <v>95</v>
      </c>
      <c r="B12">
        <v>2953.53</v>
      </c>
      <c r="C12">
        <v>1450</v>
      </c>
      <c r="E12" t="s">
        <v>96</v>
      </c>
      <c r="F12">
        <v>2953.53</v>
      </c>
      <c r="G12">
        <v>1450</v>
      </c>
      <c r="H12">
        <v>1500</v>
      </c>
      <c r="J12" t="s">
        <v>97</v>
      </c>
      <c r="K12">
        <v>2953.53</v>
      </c>
      <c r="L12">
        <v>1450</v>
      </c>
      <c r="AH12" t="s">
        <v>95</v>
      </c>
    </row>
    <row r="13" spans="1:46" x14ac:dyDescent="0.3">
      <c r="A13" t="s">
        <v>98</v>
      </c>
      <c r="B13">
        <v>2763.25</v>
      </c>
      <c r="C13">
        <v>1300</v>
      </c>
      <c r="E13" t="s">
        <v>99</v>
      </c>
      <c r="F13">
        <v>2763.25</v>
      </c>
      <c r="G13">
        <v>1300</v>
      </c>
      <c r="H13">
        <v>1200</v>
      </c>
      <c r="J13" t="s">
        <v>100</v>
      </c>
      <c r="K13">
        <v>2763.25</v>
      </c>
      <c r="L13">
        <v>1300</v>
      </c>
      <c r="AH13" t="s">
        <v>98</v>
      </c>
    </row>
    <row r="14" spans="1:46" x14ac:dyDescent="0.3">
      <c r="A14" t="s">
        <v>101</v>
      </c>
      <c r="B14">
        <v>2609.6999999999998</v>
      </c>
      <c r="C14">
        <v>1300</v>
      </c>
      <c r="E14" t="s">
        <v>102</v>
      </c>
      <c r="F14">
        <v>2609.6999999999998</v>
      </c>
      <c r="G14">
        <v>1300</v>
      </c>
      <c r="H14">
        <v>1200</v>
      </c>
      <c r="J14" t="s">
        <v>103</v>
      </c>
      <c r="K14">
        <v>2609.6999999999998</v>
      </c>
      <c r="L14">
        <v>1300</v>
      </c>
      <c r="AH14" t="s">
        <v>101</v>
      </c>
    </row>
    <row r="15" spans="1:46" x14ac:dyDescent="0.3">
      <c r="A15" t="s">
        <v>104</v>
      </c>
      <c r="B15" s="53">
        <v>2533.58</v>
      </c>
      <c r="C15">
        <v>1300</v>
      </c>
      <c r="E15" t="s">
        <v>105</v>
      </c>
      <c r="F15" s="53">
        <v>2533.58</v>
      </c>
      <c r="G15">
        <v>1300</v>
      </c>
      <c r="H15">
        <v>1200</v>
      </c>
      <c r="J15" t="s">
        <v>106</v>
      </c>
      <c r="K15" s="53">
        <v>2533.58</v>
      </c>
      <c r="L15">
        <v>1300</v>
      </c>
      <c r="AH15" t="s">
        <v>107</v>
      </c>
    </row>
    <row r="16" spans="1:46" x14ac:dyDescent="0.3">
      <c r="A16" t="s">
        <v>108</v>
      </c>
      <c r="B16">
        <v>2486.59</v>
      </c>
      <c r="C16">
        <v>1300</v>
      </c>
      <c r="E16" t="s">
        <v>109</v>
      </c>
      <c r="F16">
        <v>2486.59</v>
      </c>
      <c r="G16">
        <v>1300</v>
      </c>
      <c r="H16">
        <v>1200</v>
      </c>
      <c r="J16" t="s">
        <v>110</v>
      </c>
      <c r="K16">
        <v>2486.59</v>
      </c>
      <c r="L16">
        <v>1300</v>
      </c>
      <c r="AH16" t="s">
        <v>111</v>
      </c>
    </row>
    <row r="17" spans="1:34" x14ac:dyDescent="0.3">
      <c r="A17" t="s">
        <v>112</v>
      </c>
      <c r="E17" t="s">
        <v>113</v>
      </c>
      <c r="AH17" t="s">
        <v>114</v>
      </c>
    </row>
    <row r="18" spans="1:34" x14ac:dyDescent="0.3">
      <c r="A18" t="s">
        <v>115</v>
      </c>
      <c r="E18" t="s">
        <v>115</v>
      </c>
      <c r="AH18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62FB-6471-4A44-8BEE-AC892817FADF}">
  <sheetPr codeName="Hoja1"/>
  <dimension ref="A1:X71"/>
  <sheetViews>
    <sheetView showGridLines="0" showRowColHeaders="0" tabSelected="1" topLeftCell="A26" zoomScale="90" zoomScaleNormal="90" workbookViewId="0">
      <selection activeCell="G39" sqref="G39"/>
    </sheetView>
  </sheetViews>
  <sheetFormatPr baseColWidth="10" defaultColWidth="0" defaultRowHeight="14.4" zeroHeight="1" x14ac:dyDescent="0.3"/>
  <cols>
    <col min="1" max="1" width="1.88671875" style="21" customWidth="1"/>
    <col min="2" max="2" width="11.5546875" style="21" customWidth="1"/>
    <col min="3" max="3" width="17.109375" style="21" customWidth="1"/>
    <col min="4" max="5" width="11.5546875" style="21" customWidth="1"/>
    <col min="6" max="6" width="16.6640625" style="21" bestFit="1" customWidth="1"/>
    <col min="7" max="7" width="26.44140625" style="21" customWidth="1"/>
    <col min="8" max="8" width="11.5546875" style="21" customWidth="1"/>
    <col min="9" max="9" width="0.44140625" style="21" customWidth="1"/>
    <col min="10" max="11" width="11.5546875" style="21" hidden="1" customWidth="1"/>
    <col min="12" max="12" width="12.88671875" style="21" hidden="1" customWidth="1"/>
    <col min="13" max="14" width="11.5546875" style="21" hidden="1" customWidth="1"/>
    <col min="15" max="15" width="11.5546875" style="57" hidden="1" customWidth="1"/>
    <col min="16" max="17" width="12.109375" style="57" hidden="1" customWidth="1"/>
    <col min="18" max="20" width="11.5546875" style="57" hidden="1" customWidth="1"/>
    <col min="21" max="16384" width="11.5546875" style="21" hidden="1"/>
  </cols>
  <sheetData>
    <row r="1" spans="1:12" x14ac:dyDescent="0.3">
      <c r="A1"/>
      <c r="B1"/>
      <c r="C1"/>
      <c r="D1"/>
      <c r="E1"/>
      <c r="F1"/>
      <c r="G1"/>
      <c r="H1"/>
      <c r="I1"/>
    </row>
    <row r="2" spans="1:12" x14ac:dyDescent="0.3">
      <c r="A2"/>
      <c r="B2"/>
      <c r="C2"/>
      <c r="D2"/>
      <c r="E2"/>
      <c r="F2"/>
      <c r="G2"/>
      <c r="H2"/>
      <c r="I2"/>
    </row>
    <row r="3" spans="1:12" x14ac:dyDescent="0.3">
      <c r="A3"/>
      <c r="B3"/>
      <c r="C3"/>
      <c r="D3"/>
      <c r="E3"/>
      <c r="F3"/>
      <c r="G3"/>
      <c r="H3"/>
      <c r="I3"/>
    </row>
    <row r="4" spans="1:12" x14ac:dyDescent="0.3">
      <c r="A4"/>
      <c r="B4"/>
      <c r="C4"/>
      <c r="D4"/>
      <c r="E4"/>
      <c r="F4"/>
      <c r="G4"/>
      <c r="H4"/>
      <c r="I4"/>
    </row>
    <row r="5" spans="1:12" x14ac:dyDescent="0.3">
      <c r="A5"/>
      <c r="B5"/>
      <c r="C5"/>
      <c r="D5"/>
      <c r="E5"/>
      <c r="F5"/>
      <c r="G5"/>
      <c r="H5"/>
      <c r="I5"/>
    </row>
    <row r="6" spans="1:12" ht="13.35" customHeight="1" x14ac:dyDescent="0.3">
      <c r="A6"/>
      <c r="B6"/>
      <c r="C6"/>
      <c r="D6"/>
      <c r="E6"/>
      <c r="F6"/>
      <c r="G6"/>
      <c r="H6"/>
      <c r="I6"/>
    </row>
    <row r="7" spans="1:12" ht="21" x14ac:dyDescent="0.4">
      <c r="A7"/>
      <c r="B7" s="3" t="s">
        <v>116</v>
      </c>
      <c r="C7"/>
      <c r="D7"/>
      <c r="E7"/>
      <c r="F7"/>
      <c r="G7"/>
      <c r="H7" s="36"/>
      <c r="I7"/>
    </row>
    <row r="8" spans="1:12" x14ac:dyDescent="0.3">
      <c r="A8"/>
      <c r="B8" s="7"/>
      <c r="C8" s="7"/>
      <c r="D8" s="7"/>
      <c r="E8" s="7"/>
      <c r="F8" s="7"/>
      <c r="G8" s="7"/>
      <c r="H8"/>
      <c r="I8"/>
    </row>
    <row r="9" spans="1:12" ht="18" x14ac:dyDescent="0.35">
      <c r="A9"/>
      <c r="B9" s="4" t="s">
        <v>0</v>
      </c>
      <c r="C9"/>
      <c r="D9"/>
      <c r="E9"/>
      <c r="F9"/>
      <c r="G9" s="29" t="s">
        <v>17</v>
      </c>
      <c r="H9"/>
      <c r="I9"/>
    </row>
    <row r="10" spans="1:12" ht="5.85" customHeight="1" x14ac:dyDescent="0.3">
      <c r="A10"/>
      <c r="B10"/>
      <c r="C10"/>
      <c r="D10"/>
      <c r="E10"/>
      <c r="F10"/>
      <c r="G10"/>
      <c r="H10"/>
      <c r="I10"/>
    </row>
    <row r="11" spans="1:12" ht="18" x14ac:dyDescent="0.35">
      <c r="A11"/>
      <c r="B11" s="4" t="s">
        <v>117</v>
      </c>
      <c r="C11"/>
      <c r="D11"/>
      <c r="E11"/>
      <c r="F11"/>
      <c r="G11" s="6">
        <f>L14</f>
        <v>0.45</v>
      </c>
      <c r="H11"/>
      <c r="I11"/>
      <c r="J11" s="21">
        <f>IF(OR(AND(G9="DIRIS_Lima_Norte",G13="CAS Indeterminado"),AND(G9="DIRIS_Lima_Centro",G13="CAS Indeterminado")),0.4,VLOOKUP(G9,Base!$A:$F,6,0))</f>
        <v>0.45</v>
      </c>
      <c r="K11" s="21">
        <f>IF(AND(G9="RENIEC",G13="CAS Indeterminado"),0.45,J11)</f>
        <v>0.45</v>
      </c>
      <c r="L11" s="21">
        <f>IF(AND(G9="Policia_Nacional_del_Perú",G13="Sub Oficial de Tercera"),0.4,K11)</f>
        <v>0.45</v>
      </c>
    </row>
    <row r="12" spans="1:12" ht="8.85" customHeight="1" x14ac:dyDescent="0.3">
      <c r="A12"/>
      <c r="B12"/>
      <c r="C12"/>
      <c r="D12"/>
      <c r="E12"/>
      <c r="F12"/>
      <c r="G12"/>
      <c r="H12"/>
      <c r="I12"/>
    </row>
    <row r="13" spans="1:12" ht="15.6" x14ac:dyDescent="0.3">
      <c r="A13"/>
      <c r="B13" s="9" t="s">
        <v>118</v>
      </c>
      <c r="C13"/>
      <c r="D13"/>
      <c r="E13"/>
      <c r="F13"/>
      <c r="G13" s="52" t="s">
        <v>109</v>
      </c>
      <c r="H13"/>
      <c r="I13"/>
      <c r="J13" s="21">
        <f>IF(AND(G9="UE403_Morropon",G13="CAS Indeterminado"),0.42,K13)</f>
        <v>0.45</v>
      </c>
      <c r="K13" s="21">
        <f>IF(AND(G9="UE403_Morropon",G13="Nombrado"),0.49,L13)</f>
        <v>0.45</v>
      </c>
      <c r="L13" s="21">
        <f>IF(AND(G9="Policia_Nacional_del_Perú",G13="Sub Oficial de Tercera menor a 55 años"),0.3,L11)</f>
        <v>0.45</v>
      </c>
    </row>
    <row r="14" spans="1:12" ht="15.6" x14ac:dyDescent="0.3">
      <c r="A14"/>
      <c r="B14" s="9" t="s">
        <v>119</v>
      </c>
      <c r="C14" s="10"/>
      <c r="D14" s="10"/>
      <c r="E14" s="10"/>
      <c r="F14" s="10"/>
      <c r="G14" s="8"/>
      <c r="H14"/>
      <c r="I14"/>
      <c r="L14" s="21">
        <f>IF(AND(G9="Ejército_del_Perú",G13="Suboficial Tercera"),0.45,J13)</f>
        <v>0.45</v>
      </c>
    </row>
    <row r="15" spans="1:12" x14ac:dyDescent="0.3">
      <c r="A15"/>
      <c r="B15" s="11" t="s">
        <v>120</v>
      </c>
      <c r="C15" s="10"/>
      <c r="D15" s="10"/>
      <c r="E15" s="10"/>
      <c r="F15" s="10"/>
      <c r="G15" s="51">
        <v>3927.23</v>
      </c>
      <c r="H15"/>
      <c r="I15"/>
    </row>
    <row r="16" spans="1:12" x14ac:dyDescent="0.3">
      <c r="A16"/>
      <c r="B16" s="11" t="s">
        <v>121</v>
      </c>
      <c r="C16" s="10"/>
      <c r="D16" s="10"/>
      <c r="E16" s="10"/>
      <c r="F16" s="10"/>
      <c r="G16" s="51"/>
      <c r="H16"/>
      <c r="I16"/>
      <c r="L16" s="25"/>
    </row>
    <row r="17" spans="1:14" x14ac:dyDescent="0.3">
      <c r="A17"/>
      <c r="B17" s="11" t="s">
        <v>122</v>
      </c>
      <c r="C17" s="10"/>
      <c r="D17" s="10"/>
      <c r="E17" s="10"/>
      <c r="F17" s="10"/>
      <c r="G17" s="51"/>
      <c r="H17"/>
      <c r="I17"/>
      <c r="J17" s="25"/>
      <c r="K17" s="25"/>
      <c r="L17" s="25"/>
      <c r="M17" s="25"/>
      <c r="N17" s="25"/>
    </row>
    <row r="18" spans="1:14" x14ac:dyDescent="0.3">
      <c r="A18"/>
      <c r="B18" s="11" t="s">
        <v>123</v>
      </c>
      <c r="C18" s="10"/>
      <c r="D18" s="10"/>
      <c r="E18" s="10"/>
      <c r="F18" s="10"/>
      <c r="G18" s="51"/>
      <c r="H18"/>
      <c r="I18"/>
    </row>
    <row r="19" spans="1:14" ht="6.9" customHeight="1" x14ac:dyDescent="0.3">
      <c r="A19"/>
      <c r="B19" s="10"/>
      <c r="C19" s="10"/>
      <c r="D19" s="10"/>
      <c r="E19" s="10"/>
      <c r="F19" s="10"/>
      <c r="G19" s="10"/>
      <c r="H19"/>
      <c r="I19"/>
    </row>
    <row r="20" spans="1:14" x14ac:dyDescent="0.3">
      <c r="A20"/>
      <c r="B20" s="9" t="s">
        <v>124</v>
      </c>
      <c r="C20" s="10"/>
      <c r="D20" s="10"/>
      <c r="E20" s="10"/>
      <c r="F20" s="10"/>
      <c r="G20" s="10"/>
      <c r="H20"/>
      <c r="I20"/>
    </row>
    <row r="21" spans="1:14" x14ac:dyDescent="0.3">
      <c r="A21"/>
      <c r="B21" s="11" t="s">
        <v>125</v>
      </c>
      <c r="C21" s="10"/>
      <c r="D21" s="10"/>
      <c r="E21" s="10"/>
      <c r="F21" s="10"/>
      <c r="G21" s="28"/>
      <c r="H21"/>
      <c r="I21"/>
    </row>
    <row r="22" spans="1:14" x14ac:dyDescent="0.3">
      <c r="A22"/>
      <c r="B22" s="11"/>
      <c r="C22" s="10"/>
      <c r="D22" s="10"/>
      <c r="E22" s="10"/>
      <c r="F22" s="10"/>
      <c r="G22" s="10"/>
      <c r="H22"/>
      <c r="I22"/>
    </row>
    <row r="23" spans="1:14" x14ac:dyDescent="0.3">
      <c r="A23"/>
      <c r="B23" s="9" t="s">
        <v>126</v>
      </c>
      <c r="C23" s="10"/>
      <c r="D23" s="10"/>
      <c r="E23" s="10"/>
      <c r="F23" s="10"/>
      <c r="G23" s="10"/>
      <c r="H23"/>
      <c r="I23"/>
    </row>
    <row r="24" spans="1:14" x14ac:dyDescent="0.3">
      <c r="A24"/>
      <c r="B24" s="11" t="s">
        <v>127</v>
      </c>
      <c r="C24" s="10"/>
      <c r="D24" s="10"/>
      <c r="E24" s="10"/>
      <c r="F24" s="10"/>
      <c r="G24" s="28">
        <v>183.88</v>
      </c>
      <c r="H24"/>
      <c r="I24"/>
    </row>
    <row r="25" spans="1:14" ht="6.6" customHeight="1" x14ac:dyDescent="0.3">
      <c r="A25"/>
      <c r="B25" s="11"/>
      <c r="C25" s="10"/>
      <c r="D25" s="10"/>
      <c r="E25" s="10"/>
      <c r="F25" s="10"/>
      <c r="G25" s="10"/>
      <c r="H25"/>
      <c r="I25"/>
    </row>
    <row r="26" spans="1:14" x14ac:dyDescent="0.3">
      <c r="A26"/>
      <c r="B26" s="19" t="s">
        <v>128</v>
      </c>
      <c r="C26" s="19"/>
      <c r="D26" s="19"/>
      <c r="E26" s="19"/>
      <c r="F26" s="19"/>
      <c r="G26" s="20">
        <f>IF(G9="U_San_Juan_Bautista",G15*J11,((G15-G16+(G17*0.5)+G18-G21-G24)*L13))</f>
        <v>1684.5074999999999</v>
      </c>
      <c r="H26"/>
      <c r="I26"/>
    </row>
    <row r="27" spans="1:14" ht="5.0999999999999996" customHeight="1" x14ac:dyDescent="0.3">
      <c r="A27"/>
      <c r="B27" s="10"/>
      <c r="C27" s="10"/>
      <c r="D27" s="10"/>
      <c r="E27" s="10"/>
      <c r="F27" s="10"/>
      <c r="G27" s="18"/>
      <c r="H27"/>
      <c r="I27"/>
    </row>
    <row r="28" spans="1:14" x14ac:dyDescent="0.3">
      <c r="A28"/>
      <c r="B28" s="19" t="s">
        <v>10</v>
      </c>
      <c r="C28" s="19"/>
      <c r="D28" s="19"/>
      <c r="E28" s="19"/>
      <c r="F28" s="19"/>
      <c r="G28" s="20">
        <f>VLOOKUP(G9,Base!$A:$K,11,0)</f>
        <v>0</v>
      </c>
      <c r="H28"/>
      <c r="I28"/>
    </row>
    <row r="29" spans="1:14" x14ac:dyDescent="0.3">
      <c r="A29"/>
      <c r="B29" s="11" t="s">
        <v>129</v>
      </c>
      <c r="C29" s="10"/>
      <c r="D29" s="10"/>
      <c r="E29" s="10"/>
      <c r="F29" s="10"/>
      <c r="G29" s="28">
        <v>39</v>
      </c>
      <c r="H29"/>
      <c r="I29"/>
    </row>
    <row r="30" spans="1:14" ht="6.6" customHeight="1" x14ac:dyDescent="0.3">
      <c r="A30"/>
      <c r="B30" s="8"/>
      <c r="C30" s="8"/>
      <c r="D30" s="8"/>
      <c r="E30" s="8"/>
      <c r="F30" s="8"/>
      <c r="G30" s="8"/>
      <c r="H30"/>
      <c r="I30"/>
    </row>
    <row r="31" spans="1:14" ht="18" x14ac:dyDescent="0.35">
      <c r="A31"/>
      <c r="B31" s="5" t="s">
        <v>130</v>
      </c>
      <c r="C31" s="8"/>
      <c r="D31" s="8"/>
      <c r="E31" s="8"/>
      <c r="F31" s="8"/>
      <c r="G31" s="17">
        <f>IF(G15=0,"",K31)</f>
        <v>1645.5074999999999</v>
      </c>
      <c r="H31"/>
      <c r="I31"/>
      <c r="K31" s="21">
        <f>IF(G9="Ejercito_del_Perú",G26-G28-G29-5,G26-G28-G29)</f>
        <v>1645.5074999999999</v>
      </c>
    </row>
    <row r="32" spans="1:14" x14ac:dyDescent="0.3">
      <c r="A32"/>
      <c r="B32"/>
      <c r="C32"/>
      <c r="D32"/>
      <c r="E32"/>
      <c r="F32"/>
      <c r="G32"/>
      <c r="H32"/>
      <c r="I32"/>
    </row>
    <row r="33" spans="1:20" x14ac:dyDescent="0.3">
      <c r="A33"/>
      <c r="B33" s="7"/>
      <c r="C33" s="7"/>
      <c r="D33" s="7"/>
      <c r="E33" s="7"/>
      <c r="F33" s="7"/>
      <c r="G33" s="7"/>
      <c r="H33"/>
      <c r="I33"/>
    </row>
    <row r="34" spans="1:20" x14ac:dyDescent="0.3">
      <c r="A34"/>
      <c r="B34" s="11" t="s">
        <v>131</v>
      </c>
      <c r="C34"/>
      <c r="D34"/>
      <c r="E34"/>
      <c r="F34"/>
      <c r="G34" s="30">
        <v>83500</v>
      </c>
      <c r="H34"/>
      <c r="I34"/>
    </row>
    <row r="35" spans="1:20" x14ac:dyDescent="0.3">
      <c r="A35"/>
      <c r="B35" s="11" t="s">
        <v>132</v>
      </c>
      <c r="C35"/>
      <c r="D35"/>
      <c r="E35"/>
      <c r="F35"/>
      <c r="G35" s="31">
        <v>72</v>
      </c>
      <c r="H35"/>
      <c r="I35"/>
    </row>
    <row r="36" spans="1:20" x14ac:dyDescent="0.3">
      <c r="A36"/>
      <c r="B36" s="11" t="s">
        <v>133</v>
      </c>
      <c r="C36"/>
      <c r="D36"/>
      <c r="E36"/>
      <c r="F36"/>
      <c r="G36" s="22" t="s">
        <v>134</v>
      </c>
      <c r="H36"/>
      <c r="I36"/>
    </row>
    <row r="37" spans="1:20" x14ac:dyDescent="0.3">
      <c r="A37"/>
      <c r="B37" s="11" t="s">
        <v>135</v>
      </c>
      <c r="C37"/>
      <c r="D37"/>
      <c r="E37"/>
      <c r="F37"/>
      <c r="G37" s="32">
        <v>46129</v>
      </c>
      <c r="H37"/>
      <c r="I37"/>
    </row>
    <row r="38" spans="1:20" x14ac:dyDescent="0.3">
      <c r="A38"/>
      <c r="B38" s="11" t="s">
        <v>136</v>
      </c>
      <c r="C38"/>
      <c r="D38"/>
      <c r="E38"/>
      <c r="F38"/>
      <c r="G38" s="13">
        <f>DATE(YEAR(EDATE(G37,D70)),MONTH(EDATE(G37,D70)),D69)</f>
        <v>46218</v>
      </c>
      <c r="H38"/>
      <c r="I38"/>
    </row>
    <row r="39" spans="1:20" x14ac:dyDescent="0.3">
      <c r="A39"/>
      <c r="B39" s="11" t="s">
        <v>137</v>
      </c>
      <c r="C39"/>
      <c r="D39"/>
      <c r="E39"/>
      <c r="F39"/>
      <c r="G39" s="33">
        <v>0.1099</v>
      </c>
      <c r="H39"/>
      <c r="I39"/>
      <c r="J39" s="21" t="s">
        <v>138</v>
      </c>
      <c r="K39" s="23">
        <f>(((1+G39)^(1/12)-1)*12)*365/360</f>
        <v>0.10617874854426104</v>
      </c>
      <c r="L39" s="23"/>
      <c r="O39" s="57" t="s">
        <v>139</v>
      </c>
      <c r="P39" s="99">
        <f>G43*12</f>
        <v>9.2040000000000004E-3</v>
      </c>
    </row>
    <row r="40" spans="1:20" x14ac:dyDescent="0.3">
      <c r="A40"/>
      <c r="B40" s="11" t="s">
        <v>140</v>
      </c>
      <c r="C40"/>
      <c r="D40"/>
      <c r="E40"/>
      <c r="F40"/>
      <c r="G40" s="34" t="s">
        <v>141</v>
      </c>
      <c r="H40"/>
      <c r="I40"/>
      <c r="J40" s="21" t="s">
        <v>142</v>
      </c>
      <c r="K40" s="26">
        <f>K39/365</f>
        <v>2.9090068094318093E-4</v>
      </c>
      <c r="L40" s="26"/>
      <c r="O40" s="57" t="s">
        <v>143</v>
      </c>
      <c r="P40" s="100">
        <f>P39/365</f>
        <v>2.5216438356164383E-5</v>
      </c>
    </row>
    <row r="41" spans="1:20" x14ac:dyDescent="0.3">
      <c r="A41"/>
      <c r="B41" s="11" t="s">
        <v>144</v>
      </c>
      <c r="C41"/>
      <c r="D41"/>
      <c r="E41"/>
      <c r="F41"/>
      <c r="G41" s="44" t="s">
        <v>145</v>
      </c>
      <c r="H41"/>
      <c r="I41"/>
      <c r="J41" s="21" t="s">
        <v>146</v>
      </c>
      <c r="K41" s="23">
        <f>K40*31</f>
        <v>9.0179211092386094E-3</v>
      </c>
      <c r="L41" s="23"/>
      <c r="O41" s="57" t="s">
        <v>146</v>
      </c>
      <c r="P41" s="99">
        <f>P40*31</f>
        <v>7.8170958904109585E-4</v>
      </c>
    </row>
    <row r="42" spans="1:20" x14ac:dyDescent="0.3">
      <c r="A42"/>
      <c r="B42" s="11"/>
      <c r="C42"/>
      <c r="D42"/>
      <c r="E42"/>
      <c r="F42"/>
      <c r="G42" s="34" t="s">
        <v>147</v>
      </c>
      <c r="H42"/>
      <c r="I42"/>
      <c r="K42" s="23"/>
      <c r="L42" s="23"/>
      <c r="P42" s="99"/>
    </row>
    <row r="43" spans="1:20" x14ac:dyDescent="0.3">
      <c r="A43"/>
      <c r="B43" s="11" t="s">
        <v>148</v>
      </c>
      <c r="C43"/>
      <c r="D43"/>
      <c r="E43"/>
      <c r="F43"/>
      <c r="G43" s="43">
        <f>VLOOKUP(G42,J46:$K$51,2,0)</f>
        <v>7.67E-4</v>
      </c>
      <c r="H43"/>
      <c r="I43"/>
    </row>
    <row r="44" spans="1:20" x14ac:dyDescent="0.3">
      <c r="A44"/>
      <c r="B44" s="105" t="s">
        <v>149</v>
      </c>
      <c r="C44"/>
      <c r="D44"/>
      <c r="E44"/>
      <c r="F44"/>
      <c r="G44" s="104">
        <f>VLOOKUP(G9,Base!$A$1:$M$20,13,0)</f>
        <v>1</v>
      </c>
      <c r="H44"/>
      <c r="I44"/>
    </row>
    <row r="45" spans="1:20" x14ac:dyDescent="0.3">
      <c r="A45"/>
      <c r="B45" s="35"/>
      <c r="C45" s="36"/>
      <c r="D45" s="36"/>
      <c r="E45" s="36"/>
      <c r="F45" s="36"/>
      <c r="G45" s="37"/>
      <c r="H45"/>
      <c r="I45"/>
    </row>
    <row r="46" spans="1:20" x14ac:dyDescent="0.3">
      <c r="A46"/>
      <c r="B46" s="9" t="s">
        <v>150</v>
      </c>
      <c r="C46"/>
      <c r="D46"/>
      <c r="E46"/>
      <c r="F46"/>
      <c r="G46" s="24"/>
      <c r="H46"/>
      <c r="I46"/>
      <c r="J46" s="21" t="s">
        <v>151</v>
      </c>
      <c r="K46" s="21">
        <v>0</v>
      </c>
    </row>
    <row r="47" spans="1:20" ht="4.95" customHeight="1" x14ac:dyDescent="0.3">
      <c r="A47"/>
      <c r="B47" s="9"/>
      <c r="C47"/>
      <c r="D47"/>
      <c r="E47"/>
      <c r="F47"/>
      <c r="G47" s="24"/>
      <c r="H47"/>
      <c r="I47"/>
    </row>
    <row r="48" spans="1:20" ht="1.2" customHeight="1" x14ac:dyDescent="0.3">
      <c r="A48"/>
      <c r="B48" s="9"/>
      <c r="C48"/>
      <c r="D48"/>
      <c r="E48"/>
      <c r="F48"/>
      <c r="G48" s="24"/>
      <c r="H48"/>
      <c r="I48"/>
      <c r="P48" s="57" t="s">
        <v>152</v>
      </c>
      <c r="Q48" s="57" t="s">
        <v>153</v>
      </c>
      <c r="R48" s="57" t="s">
        <v>154</v>
      </c>
      <c r="S48" s="57" t="s">
        <v>155</v>
      </c>
      <c r="T48" s="57" t="s">
        <v>156</v>
      </c>
    </row>
    <row r="49" spans="1:24" ht="5.85" customHeight="1" x14ac:dyDescent="0.3">
      <c r="A49"/>
      <c r="B49" s="9"/>
      <c r="C49"/>
      <c r="D49"/>
      <c r="E49"/>
      <c r="F49"/>
      <c r="G49" s="24"/>
      <c r="H49"/>
      <c r="I49"/>
    </row>
    <row r="50" spans="1:24" s="48" customFormat="1" ht="28.8" x14ac:dyDescent="0.3">
      <c r="A50" s="45"/>
      <c r="B50" s="46"/>
      <c r="C50" s="45"/>
      <c r="D50" s="47" t="s">
        <v>157</v>
      </c>
      <c r="E50" s="47" t="s">
        <v>158</v>
      </c>
      <c r="F50" s="47" t="s">
        <v>159</v>
      </c>
      <c r="G50" s="47" t="s">
        <v>160</v>
      </c>
      <c r="H50" s="56" t="s">
        <v>161</v>
      </c>
      <c r="I50" s="55"/>
      <c r="J50" s="48" t="s">
        <v>147</v>
      </c>
      <c r="K50" s="49">
        <v>7.67E-4</v>
      </c>
      <c r="L50" s="49"/>
      <c r="O50" s="58" t="s">
        <v>162</v>
      </c>
      <c r="P50" s="58">
        <v>3.3060000000000003E-3</v>
      </c>
      <c r="Q50" s="58">
        <v>0.01</v>
      </c>
      <c r="R50" s="58">
        <v>3.5000000000000003E-2</v>
      </c>
      <c r="S50" s="58">
        <v>2.1999999999999999E-2</v>
      </c>
      <c r="T50" s="58">
        <v>7.8E-2</v>
      </c>
    </row>
    <row r="51" spans="1:24" x14ac:dyDescent="0.3">
      <c r="A51"/>
      <c r="B51" s="11" t="s">
        <v>163</v>
      </c>
      <c r="C51"/>
      <c r="D51" s="40"/>
      <c r="E51" s="40"/>
      <c r="F51" s="40"/>
      <c r="G51" s="40"/>
      <c r="H51" s="20">
        <f>IF(AND(E51&lt;&gt;"",F51&lt;&gt;"",G51&lt;&gt;""),L51,N51)</f>
        <v>0</v>
      </c>
      <c r="I51" s="20"/>
      <c r="J51" s="21" t="s">
        <v>164</v>
      </c>
      <c r="K51" s="42">
        <v>9.9700000000000006E-4</v>
      </c>
      <c r="L51" s="25" t="e">
        <f t="shared" ref="L51:L58" si="0">G51/F51*E51</f>
        <v>#DIV/0!</v>
      </c>
      <c r="M51" s="25"/>
      <c r="N51" s="59">
        <f>IF(E51="",G51*(Q54),E51)</f>
        <v>0</v>
      </c>
      <c r="O51" s="57" t="s">
        <v>165</v>
      </c>
      <c r="P51" s="57">
        <v>5.306E-3</v>
      </c>
      <c r="Q51" s="57">
        <v>0.01</v>
      </c>
      <c r="R51" s="57">
        <v>3.6999999999999998E-2</v>
      </c>
      <c r="S51" s="57">
        <v>2.3E-2</v>
      </c>
      <c r="T51" s="57">
        <v>8.2000000000000003E-2</v>
      </c>
      <c r="X51" s="57" t="s">
        <v>154</v>
      </c>
    </row>
    <row r="52" spans="1:24" x14ac:dyDescent="0.3">
      <c r="A52"/>
      <c r="B52" s="11" t="s">
        <v>166</v>
      </c>
      <c r="C52"/>
      <c r="D52" s="30"/>
      <c r="E52" s="30"/>
      <c r="F52" s="30"/>
      <c r="G52" s="40"/>
      <c r="H52" s="20">
        <f>IF(AND(E52&lt;&gt;"",F52&lt;&gt;"",G52&lt;&gt;""),L52,N52)</f>
        <v>0</v>
      </c>
      <c r="I52" s="20"/>
      <c r="L52" s="21" t="e">
        <f>G52/F52*E52</f>
        <v>#DIV/0!</v>
      </c>
      <c r="N52" s="59">
        <f>IF(E52="",G53*(R54),E52)</f>
        <v>0</v>
      </c>
      <c r="O52" s="57" t="s">
        <v>167</v>
      </c>
      <c r="P52" s="57">
        <v>6.5829999999999994E-3</v>
      </c>
      <c r="Q52" s="57">
        <v>1.0999999999999999E-2</v>
      </c>
      <c r="R52" s="57">
        <v>3.9E-2</v>
      </c>
      <c r="S52" s="57">
        <v>2.3E-2</v>
      </c>
      <c r="T52" s="57">
        <v>8.4000000000000005E-2</v>
      </c>
      <c r="W52" s="58" t="s">
        <v>162</v>
      </c>
      <c r="X52" s="58">
        <v>3.5000000000000003E-2</v>
      </c>
    </row>
    <row r="53" spans="1:24" x14ac:dyDescent="0.3">
      <c r="A53"/>
      <c r="B53" s="11" t="s">
        <v>168</v>
      </c>
      <c r="C53"/>
      <c r="D53" s="30"/>
      <c r="E53" s="30"/>
      <c r="F53" s="30"/>
      <c r="G53" s="40"/>
      <c r="H53" s="20">
        <f>IF(AND(E53&lt;&gt;"",F53&lt;&gt;"",G53&lt;&gt;""),L53,N53)</f>
        <v>0</v>
      </c>
      <c r="I53" s="20"/>
      <c r="K53" s="21" t="str">
        <f>IF(K57&lt;=J60,"Continuar","Sobre endeudado")</f>
        <v>Continuar</v>
      </c>
      <c r="L53" s="21" t="e">
        <f>G53/F53*E53</f>
        <v>#DIV/0!</v>
      </c>
      <c r="N53" s="59">
        <f>IF(E53="",G54*(S54),E53)</f>
        <v>0</v>
      </c>
      <c r="O53" s="57" t="s">
        <v>169</v>
      </c>
      <c r="P53" s="57">
        <v>7.1390000000000004E-3</v>
      </c>
      <c r="Q53" s="57">
        <v>1.0999999999999999E-2</v>
      </c>
      <c r="R53" s="57">
        <v>4.1000000000000002E-2</v>
      </c>
      <c r="S53" s="57">
        <v>2.3E-2</v>
      </c>
      <c r="T53" s="57">
        <v>8.6999999999999994E-2</v>
      </c>
      <c r="W53" s="57" t="s">
        <v>165</v>
      </c>
      <c r="X53" s="57">
        <v>3.6999999999999998E-2</v>
      </c>
    </row>
    <row r="54" spans="1:24" x14ac:dyDescent="0.3">
      <c r="A54"/>
      <c r="B54" s="11" t="s">
        <v>170</v>
      </c>
      <c r="C54"/>
      <c r="D54" s="30"/>
      <c r="E54" s="30"/>
      <c r="F54" s="30"/>
      <c r="G54" s="30"/>
      <c r="H54" s="20">
        <f>IF(AND(E54&lt;&gt;"",F54&lt;&gt;"",G54&lt;&gt;""),L54,N54)</f>
        <v>0</v>
      </c>
      <c r="I54" s="20"/>
      <c r="L54" s="21" t="e">
        <f>G54/F54*E54</f>
        <v>#DIV/0!</v>
      </c>
      <c r="N54" s="59">
        <f>IF(E54="",G54*(T54),E54)</f>
        <v>0</v>
      </c>
      <c r="O54" s="103" t="s">
        <v>171</v>
      </c>
      <c r="P54" s="103">
        <v>7.417E-3</v>
      </c>
      <c r="Q54" s="103">
        <v>1.0999999999999999E-2</v>
      </c>
      <c r="R54" s="103">
        <v>4.3999999999999997E-2</v>
      </c>
      <c r="S54" s="103">
        <v>2.4E-2</v>
      </c>
      <c r="T54" s="103">
        <v>8.7999999999999995E-2</v>
      </c>
      <c r="W54" s="57" t="s">
        <v>167</v>
      </c>
      <c r="X54" s="57">
        <v>3.9E-2</v>
      </c>
    </row>
    <row r="55" spans="1:24" x14ac:dyDescent="0.3">
      <c r="A55"/>
      <c r="B55" s="11" t="s">
        <v>172</v>
      </c>
      <c r="C55"/>
      <c r="D55" s="30"/>
      <c r="E55" s="30"/>
      <c r="F55" s="30"/>
      <c r="G55" s="30"/>
      <c r="H55" s="20">
        <f>IF(AND(E55&lt;&gt;"",F55&lt;&gt;"",G55&lt;&gt;""),L55,N55)</f>
        <v>0</v>
      </c>
      <c r="I55" s="20"/>
      <c r="L55" s="25" t="e">
        <f>G55/F55*E55</f>
        <v>#DIV/0!</v>
      </c>
      <c r="N55" s="59">
        <f>IF(E55="",G55*0.028,E55)</f>
        <v>0</v>
      </c>
      <c r="O55" s="57" t="s">
        <v>173</v>
      </c>
      <c r="P55" s="57">
        <v>7.417E-3</v>
      </c>
      <c r="Q55" s="57">
        <v>1.0999999999999999E-2</v>
      </c>
      <c r="R55" s="57">
        <v>4.3999999999999997E-2</v>
      </c>
      <c r="S55" s="57">
        <v>2.4E-2</v>
      </c>
      <c r="T55" s="57">
        <v>8.7999999999999995E-2</v>
      </c>
      <c r="W55" s="57" t="s">
        <v>169</v>
      </c>
      <c r="X55" s="57">
        <v>4.1000000000000002E-2</v>
      </c>
    </row>
    <row r="56" spans="1:24" x14ac:dyDescent="0.3">
      <c r="A56"/>
      <c r="B56" s="11" t="s">
        <v>174</v>
      </c>
      <c r="C56"/>
      <c r="D56" s="30"/>
      <c r="E56" s="30"/>
      <c r="F56" s="30"/>
      <c r="G56" s="30"/>
      <c r="H56" s="20">
        <f t="shared" ref="H56" si="1">IF(AND(E56&lt;&gt;"",F56&lt;&gt;"",G56&lt;&gt;""),L56,N56)</f>
        <v>0</v>
      </c>
      <c r="I56" s="20"/>
      <c r="L56" s="25" t="e">
        <f t="shared" si="0"/>
        <v>#DIV/0!</v>
      </c>
      <c r="N56" s="59">
        <f>IF(E56="",G56*0.000694,E56)</f>
        <v>0</v>
      </c>
      <c r="W56" s="57" t="s">
        <v>171</v>
      </c>
      <c r="X56" s="57">
        <v>4.3999999999999997E-2</v>
      </c>
    </row>
    <row r="57" spans="1:24" x14ac:dyDescent="0.3">
      <c r="A57"/>
      <c r="B57" s="11" t="s">
        <v>175</v>
      </c>
      <c r="C57"/>
      <c r="D57" s="30"/>
      <c r="E57" s="30">
        <v>5</v>
      </c>
      <c r="F57" s="30">
        <v>65</v>
      </c>
      <c r="G57" s="30"/>
      <c r="H57" s="20">
        <f>IF(AND(E57&lt;&gt;"",F57&lt;&gt;"",G57&lt;&gt;""),L57,N57)</f>
        <v>5</v>
      </c>
      <c r="I57" s="20"/>
      <c r="K57" s="21">
        <f>((G51/100)+(G53*0.035)+(G54*0.022)+(G56*0.0006944)+(G57*0.078)+(G58*0.003306)+E51+E52+E53+E56+E57+E58+D51+D52+D53+D54+D55+E55+D56+E54+D57+D58)/(G15-G21+G18-G24-G29)</f>
        <v>9.718304155924791E-3</v>
      </c>
      <c r="L57" s="25">
        <f t="shared" si="0"/>
        <v>0</v>
      </c>
      <c r="N57" s="59">
        <f>IF(E57="",G57*(P54),E57)</f>
        <v>5</v>
      </c>
      <c r="W57" s="57" t="s">
        <v>173</v>
      </c>
      <c r="X57" s="57">
        <v>4.3999999999999997E-2</v>
      </c>
    </row>
    <row r="58" spans="1:24" x14ac:dyDescent="0.3">
      <c r="A58"/>
      <c r="B58" s="11" t="s">
        <v>176</v>
      </c>
      <c r="C58"/>
      <c r="D58" s="30"/>
      <c r="E58" s="30">
        <v>31</v>
      </c>
      <c r="F58" s="30">
        <v>8435</v>
      </c>
      <c r="G58" s="30"/>
      <c r="H58" s="20">
        <f>IF(AND(E58&lt;&gt;"",F58&lt;&gt;"",G58&lt;&gt;""),L58,N58)</f>
        <v>31</v>
      </c>
      <c r="I58" s="20"/>
      <c r="J58" s="21">
        <f>P54</f>
        <v>7.417E-3</v>
      </c>
      <c r="L58" s="25">
        <f t="shared" si="0"/>
        <v>0</v>
      </c>
      <c r="N58" s="59">
        <f>IF(E58="",G58*J58,E58)</f>
        <v>31</v>
      </c>
      <c r="X58" s="57"/>
    </row>
    <row r="59" spans="1:24" x14ac:dyDescent="0.3">
      <c r="A59"/>
      <c r="B59" s="9" t="s">
        <v>177</v>
      </c>
      <c r="C59"/>
      <c r="D59"/>
      <c r="E59" s="38"/>
      <c r="F59" s="38"/>
      <c r="G59" s="41">
        <f>IF(K57=0,"",K57)</f>
        <v>9.718304155924791E-3</v>
      </c>
      <c r="H59"/>
      <c r="I59"/>
    </row>
    <row r="60" spans="1:24" x14ac:dyDescent="0.3">
      <c r="A60"/>
      <c r="B60" s="9" t="s">
        <v>178</v>
      </c>
      <c r="C60"/>
      <c r="D60"/>
      <c r="E60" s="38"/>
      <c r="F60" s="38"/>
      <c r="G60" s="50">
        <f>((G15-G16+G17+G18-G21-G24-G29)*K60)-D51-D52-D53-D54-D55-D56-D57-D58-N51-N52-N53-N54-N55-N56-N57-N58</f>
        <v>2371.8274999999999</v>
      </c>
      <c r="H60"/>
      <c r="I60"/>
      <c r="J60" s="21">
        <f>IF(OR(G9="Marina_de_Guerra",G9="Ejército_del_Perú",G9="Policia_Nacional_del_Perú",G9="DIRIS_lima_Norte",G9="Hospital_de_apoyo_Iquitos",G9="DIRIS_Lima_Centro",G9="UE403_Morropon",G9="Fuerza_Aerea_del_Perú",G9="Red_Salud_APLAO"),0.65,0.5)</f>
        <v>0.65</v>
      </c>
      <c r="K60" s="21">
        <f>IF(G9="UTES_N6",0.7,J60)</f>
        <v>0.65</v>
      </c>
    </row>
    <row r="61" spans="1:24" x14ac:dyDescent="0.3">
      <c r="A61"/>
      <c r="B61" s="11" t="s">
        <v>179</v>
      </c>
      <c r="C61"/>
      <c r="D61"/>
      <c r="E61"/>
      <c r="F61"/>
      <c r="G61" s="39" t="str">
        <f>IF(K57=0,"",K53)</f>
        <v>Continuar</v>
      </c>
      <c r="H61"/>
      <c r="I61"/>
    </row>
    <row r="62" spans="1:24" x14ac:dyDescent="0.3">
      <c r="A62"/>
      <c r="B62" s="11"/>
      <c r="C62"/>
      <c r="D62"/>
      <c r="E62"/>
      <c r="F62"/>
      <c r="G62"/>
      <c r="H62"/>
      <c r="I62"/>
    </row>
    <row r="63" spans="1:24" x14ac:dyDescent="0.3">
      <c r="A63"/>
      <c r="B63" s="12" t="s">
        <v>180</v>
      </c>
      <c r="C63"/>
      <c r="D63"/>
      <c r="E63"/>
      <c r="F63"/>
      <c r="G63"/>
      <c r="H63"/>
      <c r="I63"/>
      <c r="J63" s="21" t="s">
        <v>181</v>
      </c>
      <c r="K63" s="21">
        <f>((K41+P41)/(1-(1+K41+P41)^(-G35)))</f>
        <v>1.9425381519096178E-2</v>
      </c>
      <c r="O63" s="57" t="s">
        <v>182</v>
      </c>
      <c r="P63" s="101">
        <f>G34*POWER(1+K41+P41,D68)</f>
        <v>85144.557062224907</v>
      </c>
    </row>
    <row r="64" spans="1:24" x14ac:dyDescent="0.3">
      <c r="A64"/>
      <c r="B64" s="11" t="s">
        <v>183</v>
      </c>
      <c r="C64"/>
      <c r="D64"/>
      <c r="E64"/>
      <c r="F64"/>
      <c r="G64"/>
      <c r="H64"/>
      <c r="I64"/>
    </row>
    <row r="65" spans="1:16" x14ac:dyDescent="0.3">
      <c r="A65"/>
      <c r="B65" s="11" t="s">
        <v>184</v>
      </c>
      <c r="C65"/>
      <c r="D65"/>
      <c r="E65"/>
      <c r="F65"/>
      <c r="G65"/>
      <c r="H65"/>
      <c r="I65"/>
      <c r="J65" s="21" t="s">
        <v>185</v>
      </c>
      <c r="K65" s="21">
        <f>IF(Cronograma!C20="",(Cronograma!F23+Cronograma!J21+Cronograma!J22)*K63,(Cronograma!G23+Cronograma!J20+Cronograma!J21+Cronograma!J22)*K63)</f>
        <v>1640.3277390434066</v>
      </c>
      <c r="O65" s="57" t="s">
        <v>186</v>
      </c>
      <c r="P65" s="102">
        <f>-PMT(K41+P41,G35,P63)</f>
        <v>1653.9655052081757</v>
      </c>
    </row>
    <row r="66" spans="1:16" x14ac:dyDescent="0.3">
      <c r="A66"/>
      <c r="B66"/>
      <c r="C66"/>
      <c r="D66"/>
      <c r="E66"/>
      <c r="F66"/>
      <c r="G66"/>
      <c r="H66"/>
      <c r="I66"/>
    </row>
    <row r="67" spans="1:16" hidden="1" x14ac:dyDescent="0.3">
      <c r="A67"/>
      <c r="B67"/>
      <c r="C67"/>
      <c r="D67"/>
      <c r="E67"/>
      <c r="F67"/>
      <c r="G67"/>
      <c r="H67"/>
      <c r="I67"/>
    </row>
    <row r="68" spans="1:16" hidden="1" x14ac:dyDescent="0.3">
      <c r="A68"/>
      <c r="B68" s="14" t="s">
        <v>187</v>
      </c>
      <c r="C68" s="15"/>
      <c r="D68" s="16">
        <f>VLOOKUP(G9,Base!$A$1:$E$100,4,0)</f>
        <v>2</v>
      </c>
      <c r="E68"/>
      <c r="F68"/>
      <c r="G68"/>
      <c r="H68"/>
      <c r="I68"/>
      <c r="J68" s="21" t="s">
        <v>188</v>
      </c>
      <c r="K68" s="27">
        <f>IRR(Cronograma!P20:P94,2%)</f>
        <v>1.0227656199806479E-2</v>
      </c>
      <c r="L68" s="27"/>
    </row>
    <row r="69" spans="1:16" hidden="1" x14ac:dyDescent="0.3">
      <c r="A69"/>
      <c r="B69" s="14" t="s">
        <v>189</v>
      </c>
      <c r="C69" s="15"/>
      <c r="D69" s="16">
        <f>VLOOKUP(G9,Base!$A:$H,8,0)</f>
        <v>15</v>
      </c>
      <c r="E69"/>
      <c r="F69"/>
      <c r="G69"/>
      <c r="H69"/>
      <c r="I69"/>
      <c r="J69" s="21" t="s">
        <v>190</v>
      </c>
      <c r="K69" s="27">
        <f>(1+K68)^12-1</f>
        <v>0.12987667724061969</v>
      </c>
      <c r="L69" s="27"/>
    </row>
    <row r="70" spans="1:16" hidden="1" x14ac:dyDescent="0.3">
      <c r="A70"/>
      <c r="B70" s="14" t="s">
        <v>191</v>
      </c>
      <c r="C70" s="15"/>
      <c r="D70" s="16">
        <f>VLOOKUP(G9,Base!$A$1:$E$100,5,0)</f>
        <v>3</v>
      </c>
      <c r="E70"/>
      <c r="F70"/>
      <c r="G70"/>
      <c r="H70"/>
      <c r="I70"/>
    </row>
    <row r="71" spans="1:16" hidden="1" x14ac:dyDescent="0.3">
      <c r="A71"/>
      <c r="B71" s="14" t="s">
        <v>6</v>
      </c>
      <c r="C71" s="15"/>
      <c r="D71" s="16">
        <f>VLOOKUP(G9,Base!$A$1:$H$100,7,0)</f>
        <v>30</v>
      </c>
      <c r="E71"/>
      <c r="F71"/>
      <c r="G71"/>
      <c r="H71"/>
      <c r="I71"/>
    </row>
  </sheetData>
  <sheetProtection algorithmName="SHA-512" hashValue="x/uJC/ALGTwuEv24UTBKYD5UInQH8d3uj8OqlIouP8jgGxxmWVFrf/ywVyH1zOwrXCOJOc2vKzRiXh1JLeAjiw==" saltValue="M6hushREYimQg/oQTP0Xgg==" spinCount="100000" sheet="1" objects="1" scenarios="1" selectLockedCells="1"/>
  <conditionalFormatting sqref="G60">
    <cfRule type="aboveAverage" dxfId="0" priority="1" aboveAverage="0"/>
  </conditionalFormatting>
  <dataValidations count="3">
    <dataValidation type="list" allowBlank="1" showInputMessage="1" showErrorMessage="1" sqref="G40" xr:uid="{40545A21-D41A-45DE-86F8-367E02981819}">
      <formula1>"Físico, Virtual"</formula1>
    </dataValidation>
    <dataValidation type="list" allowBlank="1" showInputMessage="1" showErrorMessage="1" sqref="G42" xr:uid="{EC3EC59F-292A-42AE-8923-ED05DFCE2CE4}">
      <formula1>$J$46:$J$51</formula1>
    </dataValidation>
    <dataValidation type="list" allowBlank="1" showInputMessage="1" showErrorMessage="1" sqref="G13" xr:uid="{FDBAD759-9415-4017-93AE-8C10B5B47C3D}">
      <formula1>INDIRECT($G$9)</formula1>
    </dataValidation>
  </dataValidations>
  <pageMargins left="0.70866141732283472" right="0.70866141732283472" top="0.74803149606299213" bottom="0.74803149606299213" header="0.31496062992125984" footer="0.31496062992125984"/>
  <pageSetup paperSize="9" scale="73" orientation="portrait" r:id="rId1"/>
  <colBreaks count="1" manualBreakCount="1">
    <brk id="9" max="68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5E0A0C-0860-4361-8563-3AB3B171B715}">
          <x14:formula1>
            <xm:f>Base!$A$2:$A$1048576</xm:f>
          </x14:formula1>
          <xm:sqref>G9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3F06-8987-428E-959F-10AAEF4A18AB}">
  <sheetPr codeName="Hoja4"/>
  <dimension ref="A1:W100"/>
  <sheetViews>
    <sheetView showGridLines="0" showRowColHeaders="0" topLeftCell="A7" zoomScale="70" zoomScaleNormal="70" workbookViewId="0">
      <selection activeCell="C21" sqref="C21"/>
    </sheetView>
  </sheetViews>
  <sheetFormatPr baseColWidth="10" defaultColWidth="0" defaultRowHeight="15.6" zeroHeight="1" x14ac:dyDescent="0.3"/>
  <cols>
    <col min="1" max="1" width="4.44140625" style="8" customWidth="1"/>
    <col min="2" max="2" width="4.88671875" style="60" customWidth="1"/>
    <col min="3" max="3" width="12.109375" style="8" customWidth="1"/>
    <col min="4" max="5" width="6.44140625" style="60" hidden="1" customWidth="1"/>
    <col min="6" max="6" width="12.109375" style="60" hidden="1" customWidth="1"/>
    <col min="7" max="7" width="17.44140625" style="60" customWidth="1"/>
    <col min="8" max="8" width="11.6640625" style="60" hidden="1" customWidth="1"/>
    <col min="9" max="9" width="15.88671875" style="60" customWidth="1"/>
    <col min="10" max="10" width="13.44140625" style="60" bestFit="1" customWidth="1"/>
    <col min="11" max="11" width="14.88671875" style="60" customWidth="1"/>
    <col min="12" max="12" width="17.44140625" style="60" customWidth="1"/>
    <col min="13" max="13" width="12.109375" style="60" customWidth="1"/>
    <col min="14" max="15" width="12" style="60" customWidth="1"/>
    <col min="16" max="16" width="15" style="60" customWidth="1"/>
    <col min="17" max="17" width="3.5546875" style="8" customWidth="1"/>
    <col min="18" max="16384" width="11.109375" style="8" hidden="1"/>
  </cols>
  <sheetData>
    <row r="1" spans="2:16" x14ac:dyDescent="0.3"/>
    <row r="2" spans="2:16" x14ac:dyDescent="0.3"/>
    <row r="3" spans="2:16" x14ac:dyDescent="0.3"/>
    <row r="4" spans="2:16" x14ac:dyDescent="0.3">
      <c r="M4" s="61"/>
      <c r="N4" s="61"/>
      <c r="O4" s="62"/>
      <c r="P4" s="61"/>
    </row>
    <row r="5" spans="2:16" x14ac:dyDescent="0.3">
      <c r="M5" s="61"/>
      <c r="N5" s="61"/>
      <c r="O5" s="61"/>
      <c r="P5" s="61"/>
    </row>
    <row r="6" spans="2:16" x14ac:dyDescent="0.3">
      <c r="M6" s="62"/>
      <c r="N6" s="62"/>
      <c r="O6" s="61"/>
      <c r="P6" s="63"/>
    </row>
    <row r="7" spans="2:16" ht="20.85" customHeight="1" x14ac:dyDescent="0.3">
      <c r="B7" s="64"/>
      <c r="C7" s="64" t="s">
        <v>192</v>
      </c>
      <c r="D7" s="65"/>
      <c r="E7" s="65"/>
      <c r="F7" s="65"/>
      <c r="G7" s="65"/>
      <c r="H7" s="65"/>
      <c r="I7" s="65"/>
      <c r="J7" s="65"/>
      <c r="K7" s="65"/>
      <c r="L7" s="65"/>
      <c r="M7" s="66"/>
      <c r="N7" s="66"/>
      <c r="O7" s="67"/>
      <c r="P7" s="68"/>
    </row>
    <row r="8" spans="2:16" ht="35.1" customHeight="1" x14ac:dyDescent="0.3">
      <c r="B8" s="107" t="s">
        <v>193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61"/>
      <c r="P8" s="63">
        <v>45762</v>
      </c>
    </row>
    <row r="9" spans="2:16" x14ac:dyDescent="0.3">
      <c r="O9" s="61"/>
      <c r="P9" s="63">
        <v>45792</v>
      </c>
    </row>
    <row r="10" spans="2:16" x14ac:dyDescent="0.3">
      <c r="C10" s="69" t="s">
        <v>194</v>
      </c>
      <c r="D10" s="69"/>
      <c r="E10" s="69"/>
      <c r="F10" s="69"/>
      <c r="G10" s="69"/>
      <c r="H10" s="69"/>
      <c r="I10" s="69"/>
      <c r="J10" s="69"/>
      <c r="K10" s="70">
        <f>Cáratula!G39</f>
        <v>0.1099</v>
      </c>
      <c r="O10" s="61"/>
      <c r="P10" s="61"/>
    </row>
    <row r="11" spans="2:16" x14ac:dyDescent="0.3">
      <c r="C11" s="69" t="s">
        <v>195</v>
      </c>
      <c r="D11" s="69"/>
      <c r="E11" s="69"/>
      <c r="F11" s="69"/>
      <c r="G11" s="71"/>
      <c r="H11" s="71"/>
      <c r="I11" s="71"/>
      <c r="J11" s="71"/>
      <c r="K11" s="70">
        <f>IF(Cáratula!K69="","",Cáratula!K69)</f>
        <v>0.12987667724061969</v>
      </c>
      <c r="O11" s="61"/>
      <c r="P11" s="61"/>
    </row>
    <row r="12" spans="2:16" x14ac:dyDescent="0.3">
      <c r="O12" s="61"/>
      <c r="P12" s="61"/>
    </row>
    <row r="13" spans="2:16" x14ac:dyDescent="0.3">
      <c r="C13" s="72" t="s">
        <v>196</v>
      </c>
      <c r="D13" s="72"/>
      <c r="E13" s="72"/>
      <c r="O13" s="61"/>
      <c r="P13" s="61"/>
    </row>
    <row r="14" spans="2:16" x14ac:dyDescent="0.3"/>
    <row r="15" spans="2:16" x14ac:dyDescent="0.3"/>
    <row r="16" spans="2:16" ht="46.8" x14ac:dyDescent="0.3">
      <c r="I16" s="73" t="s">
        <v>197</v>
      </c>
      <c r="J16" s="73" t="s">
        <v>198</v>
      </c>
      <c r="K16" s="73" t="s">
        <v>199</v>
      </c>
      <c r="L16" s="73" t="s">
        <v>185</v>
      </c>
      <c r="M16" s="73" t="s">
        <v>200</v>
      </c>
      <c r="N16" s="73" t="s">
        <v>201</v>
      </c>
      <c r="O16" s="73" t="s">
        <v>202</v>
      </c>
      <c r="P16" s="73" t="s">
        <v>185</v>
      </c>
    </row>
    <row r="17" spans="2:23" x14ac:dyDescent="0.3">
      <c r="B17" s="106" t="s">
        <v>203</v>
      </c>
      <c r="C17" s="106"/>
      <c r="D17" s="106"/>
      <c r="E17" s="106"/>
      <c r="F17" s="74"/>
      <c r="G17" s="74"/>
      <c r="H17" s="74"/>
      <c r="I17" s="75">
        <f t="shared" ref="I17:O17" si="0">SUM(I20:I1048576)</f>
        <v>32600.651472348818</v>
      </c>
      <c r="J17" s="75">
        <f t="shared" si="0"/>
        <v>2766.9992572858837</v>
      </c>
      <c r="K17" s="75">
        <f t="shared" si="0"/>
        <v>83763.028306412452</v>
      </c>
      <c r="L17" s="75">
        <f t="shared" si="0"/>
        <v>118391.59721112536</v>
      </c>
      <c r="M17" s="75">
        <f t="shared" si="0"/>
        <v>0</v>
      </c>
      <c r="N17" s="75">
        <f t="shared" si="0"/>
        <v>0</v>
      </c>
      <c r="O17" s="75">
        <f t="shared" si="0"/>
        <v>0</v>
      </c>
      <c r="P17" s="75">
        <f>SUM(P21:P1048576)</f>
        <v>118391.59721112536</v>
      </c>
    </row>
    <row r="18" spans="2:23" x14ac:dyDescent="0.3"/>
    <row r="19" spans="2:23" ht="46.8" x14ac:dyDescent="0.3">
      <c r="B19" s="73" t="s">
        <v>204</v>
      </c>
      <c r="C19" s="73" t="s">
        <v>205</v>
      </c>
      <c r="D19" s="73" t="s">
        <v>206</v>
      </c>
      <c r="E19" s="73" t="s">
        <v>207</v>
      </c>
      <c r="F19" s="73" t="s">
        <v>208</v>
      </c>
      <c r="G19" s="73" t="s">
        <v>209</v>
      </c>
      <c r="H19" s="73" t="s">
        <v>210</v>
      </c>
      <c r="I19" s="73" t="s">
        <v>197</v>
      </c>
      <c r="J19" s="73" t="s">
        <v>198</v>
      </c>
      <c r="K19" s="73" t="s">
        <v>199</v>
      </c>
      <c r="L19" s="73" t="s">
        <v>185</v>
      </c>
      <c r="M19" s="73" t="s">
        <v>200</v>
      </c>
      <c r="N19" s="73" t="s">
        <v>201</v>
      </c>
      <c r="O19" s="73" t="s">
        <v>202</v>
      </c>
      <c r="P19" s="73" t="s">
        <v>185</v>
      </c>
    </row>
    <row r="20" spans="2:23" x14ac:dyDescent="0.3">
      <c r="B20" s="76"/>
      <c r="C20" s="77" t="str">
        <f>IF(DAY(Cáratula!G37)&gt;=Cáratula!D69,"",(IF(Cáratula!D68=2,(EDATE(C21,-1)),"")))</f>
        <v/>
      </c>
      <c r="D20" s="76" t="str">
        <f>IF(C20="","",(C20-Cáratula!G37))</f>
        <v/>
      </c>
      <c r="E20" s="76"/>
      <c r="F20" s="78" t="str">
        <f>IF(C20="","",(IF(Cáratula!D68=2,Cáratula!G34,"")))</f>
        <v/>
      </c>
      <c r="G20" s="79" t="str">
        <f>IF(F20="","",F20)</f>
        <v/>
      </c>
      <c r="H20" s="80" t="str">
        <f>IF(G20="","",(Cáratula!K39/365*D20))</f>
        <v/>
      </c>
      <c r="I20" s="81" t="str">
        <f>IF(H20="","",(H20*F20))</f>
        <v/>
      </c>
      <c r="J20" s="82" t="str">
        <f>IF(C20="","",G20*Cáratula!P40*D20)</f>
        <v/>
      </c>
      <c r="K20" s="82"/>
      <c r="L20" s="82"/>
      <c r="M20" s="82"/>
      <c r="N20" s="76"/>
      <c r="O20" s="76"/>
      <c r="P20" s="83">
        <f>-Cáratula!G34</f>
        <v>-83500</v>
      </c>
    </row>
    <row r="21" spans="2:23" x14ac:dyDescent="0.3">
      <c r="B21" s="84"/>
      <c r="C21" s="85">
        <f>EDATE(C22,-1)</f>
        <v>46157</v>
      </c>
      <c r="D21" s="84">
        <f>C21-Cáratula!G37</f>
        <v>28</v>
      </c>
      <c r="E21" s="84">
        <f>IF(C20="",(C21-Cáratula!G37),(C21-C20))</f>
        <v>28</v>
      </c>
      <c r="F21" s="86">
        <f>IF(F20="",Cáratula!G34,G20)</f>
        <v>83500</v>
      </c>
      <c r="G21" s="86">
        <f>IF(C20="",F21,G20)</f>
        <v>83500</v>
      </c>
      <c r="H21" s="87">
        <f>Cáratula!$K$39/365*E21</f>
        <v>8.1452190664090662E-3</v>
      </c>
      <c r="I21" s="86">
        <f>H21*F21</f>
        <v>680.12579204515703</v>
      </c>
      <c r="J21" s="88">
        <f>IF(C20="",F21*E21*Cáratula!$P$40,Cáratula!P40*E21*G20)</f>
        <v>58.956032876712328</v>
      </c>
      <c r="K21" s="88"/>
      <c r="L21" s="88"/>
      <c r="M21" s="88"/>
      <c r="N21" s="84"/>
      <c r="O21" s="84"/>
      <c r="P21" s="84"/>
    </row>
    <row r="22" spans="2:23" x14ac:dyDescent="0.3">
      <c r="B22" s="76"/>
      <c r="C22" s="77">
        <f>EDATE(C23,-1)</f>
        <v>46188</v>
      </c>
      <c r="D22" s="76">
        <f>C22-Cáratula!G37</f>
        <v>59</v>
      </c>
      <c r="E22" s="76">
        <f>C22-C21</f>
        <v>31</v>
      </c>
      <c r="F22" s="79">
        <f>IF(C20="",G21,G22)</f>
        <v>83500</v>
      </c>
      <c r="G22" s="79">
        <f>IF(C20="",G21+I22+J22,G21+I21+J21)</f>
        <v>84318.269163306351</v>
      </c>
      <c r="H22" s="80">
        <f>IF(OR($B23=""),$B23,(Cáratula!$K$39/365*E22))</f>
        <v>9.0179211092386094E-3</v>
      </c>
      <c r="I22" s="79">
        <f>IF(OR($B23=""),$B23,(H22*F22))</f>
        <v>752.99641262142393</v>
      </c>
      <c r="J22" s="82">
        <f>IF(C20="",Cáratula!$P$40*E22*G21,Cáratula!P40*E22*G22)</f>
        <v>65.272750684931509</v>
      </c>
      <c r="K22" s="89">
        <f>IF(OR($B23=""),$B23,(L22-I22-J22))</f>
        <v>-818.26916330635549</v>
      </c>
      <c r="L22" s="82"/>
      <c r="M22" s="82"/>
      <c r="N22" s="76"/>
      <c r="O22" s="76"/>
      <c r="P22" s="90" t="s">
        <v>211</v>
      </c>
    </row>
    <row r="23" spans="2:23" x14ac:dyDescent="0.3">
      <c r="B23" s="84">
        <v>1</v>
      </c>
      <c r="C23" s="85">
        <f>Cáratula!G38</f>
        <v>46218</v>
      </c>
      <c r="D23" s="84">
        <f>IF(OR($B24=""),"",$C23-Cáratula!$G$38)</f>
        <v>0</v>
      </c>
      <c r="E23" s="84">
        <f t="shared" ref="E23:E54" si="1">IF(OR($B24=""),"",C23-C22)</f>
        <v>30</v>
      </c>
      <c r="F23" s="86">
        <f>G22</f>
        <v>84318.269163306351</v>
      </c>
      <c r="G23" s="86">
        <f>IF(C20="",G22,G22+I22+J22)</f>
        <v>84318.269163306351</v>
      </c>
      <c r="H23" s="87">
        <f>IF(OR($B24=""),$B24,(Cáratula!$K$39/365*E23))</f>
        <v>8.7270204282954289E-3</v>
      </c>
      <c r="I23" s="86">
        <f>IF(C20="",((H23*F23)+I21),((H23*F23)+I20))</f>
        <v>1415.9730495118442</v>
      </c>
      <c r="J23" s="88">
        <f>IF(OR($B24=""),"",IF(C21="",Cáratula!$P$40*E23*G22,Cáratula!P40*E23*G23))</f>
        <v>63.786193099649722</v>
      </c>
      <c r="K23" s="88">
        <f>L23-I23-J23</f>
        <v>164.56849643191265</v>
      </c>
      <c r="L23" s="88">
        <f>Cáratula!K65+$W$24</f>
        <v>1644.3277390434066</v>
      </c>
      <c r="M23" s="88">
        <f>IF(OR($B24=""),"",IF(Cáratula!$G$40="Físico",10,0))</f>
        <v>0</v>
      </c>
      <c r="N23" s="84"/>
      <c r="O23" s="84"/>
      <c r="P23" s="88">
        <f>IF(OR($B24=""),"",O23+N23+M23+L23)</f>
        <v>1644.3277390434066</v>
      </c>
    </row>
    <row r="24" spans="2:23" x14ac:dyDescent="0.3">
      <c r="B24" s="76">
        <f>IF($B23=Cáratula!$G$35,$B$21,IF(OR($B23="",$B23=$B$21),"",$B23+1))</f>
        <v>2</v>
      </c>
      <c r="C24" s="77">
        <f>IF(OR($B25=""),$B25,IF(DAY(EOMONTH($C23,1))&lt;Cáratula!$D$69,EOMONTH($C23,1),DATE(YEAR(EOMONTH($C23,1)),MONTH(EOMONTH($C23,1)),Cáratula!$D$69)))</f>
        <v>46249</v>
      </c>
      <c r="D24" s="76">
        <f>IF(OR($B25=""),"",$C24-Cáratula!$G$38)</f>
        <v>31</v>
      </c>
      <c r="E24" s="76">
        <f t="shared" si="1"/>
        <v>31</v>
      </c>
      <c r="F24" s="79">
        <f t="shared" ref="F24:F47" si="2">IF(OR($B25=""),"",G23)</f>
        <v>84318.269163306351</v>
      </c>
      <c r="G24" s="79">
        <f>IF(OR($B25=""),"",F24-K23)</f>
        <v>84153.700666874443</v>
      </c>
      <c r="H24" s="80">
        <f>IF(OR($B25=""),$B25,(Cáratula!$K$39/365*E24))</f>
        <v>9.0179211092386094E-3</v>
      </c>
      <c r="I24" s="79">
        <f>IF(OR($B25=""),$B25,(H24*G24))</f>
        <v>758.89143366435428</v>
      </c>
      <c r="J24" s="82">
        <f>IF(OR($B25=""),"",IF(C22="",Cáratula!$P$40*E24*G23,Cáratula!$P$40*E24*G24))</f>
        <v>65.783754764589816</v>
      </c>
      <c r="K24" s="82">
        <f>IF(OR($B25=""),"",L24-I24-J24)</f>
        <v>819.65255061446248</v>
      </c>
      <c r="L24" s="82">
        <f>IF(OR($B25=""),"",L23)</f>
        <v>1644.3277390434066</v>
      </c>
      <c r="M24" s="82">
        <f>M23</f>
        <v>0</v>
      </c>
      <c r="N24" s="76"/>
      <c r="O24" s="76"/>
      <c r="P24" s="82">
        <f>O24+N24+M24+L24</f>
        <v>1644.3277390434066</v>
      </c>
      <c r="W24" s="8">
        <v>4</v>
      </c>
    </row>
    <row r="25" spans="2:23" x14ac:dyDescent="0.3">
      <c r="B25" s="84">
        <f>IF($B24=Cáratula!$G$35,$B$21,IF(OR($B24="",$B24=$B$21),"",$B24+1))</f>
        <v>3</v>
      </c>
      <c r="C25" s="85">
        <f>IF(OR($B26=""),$B26,IF(DAY(EOMONTH($C24,1))&lt;Cáratula!$D$69,EOMONTH($C24,1),DATE(YEAR(EOMONTH($C24,1)),MONTH(EOMONTH($C24,1)),Cáratula!$D$69)))</f>
        <v>46280</v>
      </c>
      <c r="D25" s="84">
        <f>IF(OR($B26=""),"",$C25-Cáratula!$G$38)</f>
        <v>62</v>
      </c>
      <c r="E25" s="84">
        <f t="shared" si="1"/>
        <v>31</v>
      </c>
      <c r="F25" s="86">
        <f t="shared" si="2"/>
        <v>84153.700666874443</v>
      </c>
      <c r="G25" s="86">
        <f t="shared" ref="G25:G88" si="3">IF(OR($B26=""),"",F25-K24)</f>
        <v>83334.048116259975</v>
      </c>
      <c r="H25" s="87">
        <f>IF(OR($B26=""),$B26,(Cáratula!$K$39/365*E25))</f>
        <v>9.0179211092386094E-3</v>
      </c>
      <c r="I25" s="86">
        <f t="shared" ref="I25:I88" si="4">IF(OR($B26=""),$B26,(H25*G25))</f>
        <v>751.49987162592686</v>
      </c>
      <c r="J25" s="88">
        <f>IF(OR($B26=""),"",IF(C23="",Cáratula!$P$40*E25*G24,Cáratula!$P$40*E25*G25))</f>
        <v>65.143024506092488</v>
      </c>
      <c r="K25" s="88">
        <f t="shared" ref="K25:K88" si="5">IF(OR($B26=""),"",L25-I25-J25)</f>
        <v>827.68484291138725</v>
      </c>
      <c r="L25" s="88">
        <f t="shared" ref="L25:L90" si="6">IF(OR($B26=""),"",L24)</f>
        <v>1644.3277390434066</v>
      </c>
      <c r="M25" s="88">
        <f>IF(OR($B26=""),"",IF(Cáratula!$G$40="Físico",10,0))</f>
        <v>0</v>
      </c>
      <c r="N25" s="84"/>
      <c r="O25" s="84"/>
      <c r="P25" s="88">
        <f>IF(OR($B26=""),"",O25+N25+M25+L25)</f>
        <v>1644.3277390434066</v>
      </c>
    </row>
    <row r="26" spans="2:23" x14ac:dyDescent="0.3">
      <c r="B26" s="76">
        <f>IF($B25=Cáratula!$G$35,$B$21,IF(OR($B25="",$B25=$B$21),"",$B25+1))</f>
        <v>4</v>
      </c>
      <c r="C26" s="77">
        <f>IF(OR($B27=""),$B27,IF(DAY(EOMONTH($C25,1))&lt;Cáratula!$D$69,EOMONTH($C25,1),DATE(YEAR(EOMONTH($C25,1)),MONTH(EOMONTH($C25,1)),Cáratula!$D$69)))</f>
        <v>46310</v>
      </c>
      <c r="D26" s="76">
        <f>IF(OR($B27=""),"",$C26-Cáratula!$G$38)</f>
        <v>92</v>
      </c>
      <c r="E26" s="76">
        <f t="shared" si="1"/>
        <v>30</v>
      </c>
      <c r="F26" s="79">
        <f t="shared" si="2"/>
        <v>83334.048116259975</v>
      </c>
      <c r="G26" s="79">
        <f t="shared" si="3"/>
        <v>82506.363273348587</v>
      </c>
      <c r="H26" s="80">
        <f>IF(OR($B27=""),$B27,(Cáratula!$K$39/365*E26))</f>
        <v>8.7270204282954289E-3</v>
      </c>
      <c r="I26" s="79">
        <f t="shared" si="4"/>
        <v>720.03471775087678</v>
      </c>
      <c r="J26" s="82">
        <f>IF(OR($B27=""),"",IF(C24="",Cáratula!$P$40*E26*G25,Cáratula!$P$40*E26*G26))</f>
        <v>62.415498704210989</v>
      </c>
      <c r="K26" s="82">
        <f t="shared" si="5"/>
        <v>861.87752258831881</v>
      </c>
      <c r="L26" s="82">
        <f t="shared" si="6"/>
        <v>1644.3277390434066</v>
      </c>
      <c r="M26" s="82">
        <f>IF(OR($B27=""),"",IF(Cáratula!$G$40="Físico",10,0))</f>
        <v>0</v>
      </c>
      <c r="N26" s="76"/>
      <c r="O26" s="76"/>
      <c r="P26" s="82">
        <f>IF(OR($B27=""),"",O26+N26+M26+L26)</f>
        <v>1644.3277390434066</v>
      </c>
    </row>
    <row r="27" spans="2:23" x14ac:dyDescent="0.3">
      <c r="B27" s="84">
        <f>IF($B26=Cáratula!$G$35,$B$21,IF(OR($B26="",$B26=$B$21),"",$B26+1))</f>
        <v>5</v>
      </c>
      <c r="C27" s="85">
        <f>IF(OR($B28=""),$B28,IF(DAY(EOMONTH($C26,1))&lt;Cáratula!$D$69,EOMONTH($C26,1),DATE(YEAR(EOMONTH($C26,1)),MONTH(EOMONTH($C26,1)),Cáratula!$D$69)))</f>
        <v>46341</v>
      </c>
      <c r="D27" s="84">
        <f>IF(OR($B28=""),"",$C27-Cáratula!$G$38)</f>
        <v>123</v>
      </c>
      <c r="E27" s="84">
        <f t="shared" si="1"/>
        <v>31</v>
      </c>
      <c r="F27" s="86">
        <f t="shared" si="2"/>
        <v>82506.363273348587</v>
      </c>
      <c r="G27" s="86">
        <f t="shared" si="3"/>
        <v>81644.485750760272</v>
      </c>
      <c r="H27" s="87">
        <f>IF(OR($B28=""),$B28,(Cáratula!$K$39/365*E27))</f>
        <v>9.0179211092386094E-3</v>
      </c>
      <c r="I27" s="86">
        <f t="shared" si="4"/>
        <v>736.26353150471186</v>
      </c>
      <c r="J27" s="88">
        <f>IF(OR($B28=""),"",IF(C25="",Cáratula!$P$40*E27*G26,Cáratula!$P$40*E27*G27))</f>
        <v>63.822277403698422</v>
      </c>
      <c r="K27" s="88">
        <f t="shared" si="5"/>
        <v>844.24193013499632</v>
      </c>
      <c r="L27" s="88">
        <f t="shared" si="6"/>
        <v>1644.3277390434066</v>
      </c>
      <c r="M27" s="88">
        <f>IF(OR($B28=""),"",IF(Cáratula!$G$40="Físico",10,0))</f>
        <v>0</v>
      </c>
      <c r="N27" s="84"/>
      <c r="O27" s="84"/>
      <c r="P27" s="88">
        <f>IF(OR($B28=""),"",O27+N27+M27+L27)</f>
        <v>1644.3277390434066</v>
      </c>
    </row>
    <row r="28" spans="2:23" x14ac:dyDescent="0.3">
      <c r="B28" s="76">
        <f>IF($B27=Cáratula!$G$35,$B$21,IF(OR($B27="",$B27=$B$21),"",$B27+1))</f>
        <v>6</v>
      </c>
      <c r="C28" s="77">
        <f>IF(OR($B29=""),$B29,IF(DAY(EOMONTH($C27,1))&lt;Cáratula!$D$69,EOMONTH($C27,1),DATE(YEAR(EOMONTH($C27,1)),MONTH(EOMONTH($C27,1)),Cáratula!$D$69)))</f>
        <v>46371</v>
      </c>
      <c r="D28" s="76">
        <f>IF(OR($B29=""),"",$C28-Cáratula!$G$38)</f>
        <v>153</v>
      </c>
      <c r="E28" s="76">
        <f t="shared" si="1"/>
        <v>30</v>
      </c>
      <c r="F28" s="79">
        <f t="shared" si="2"/>
        <v>81644.485750760272</v>
      </c>
      <c r="G28" s="79">
        <f t="shared" si="3"/>
        <v>80800.24382062527</v>
      </c>
      <c r="H28" s="80">
        <f>IF(OR($B29=""),$B29,(Cáratula!$K$39/365*E28))</f>
        <v>8.7270204282954289E-3</v>
      </c>
      <c r="I28" s="79">
        <f t="shared" si="4"/>
        <v>705.14537843384824</v>
      </c>
      <c r="J28" s="82">
        <f>IF(OR($B29=""),"",IF(C26="",Cáratula!$P$40*E28*G27,Cáratula!$P$40*E28*G28))</f>
        <v>61.124831023975474</v>
      </c>
      <c r="K28" s="82">
        <f t="shared" si="5"/>
        <v>878.05752958558287</v>
      </c>
      <c r="L28" s="82">
        <f t="shared" si="6"/>
        <v>1644.3277390434066</v>
      </c>
      <c r="M28" s="82">
        <f>IF(OR($B29=""),"",IF(Cáratula!$G$40="Físico",10,0))</f>
        <v>0</v>
      </c>
      <c r="N28" s="76"/>
      <c r="O28" s="76"/>
      <c r="P28" s="82">
        <f t="shared" ref="P28:P91" si="7">IF(OR($B29=""),"",O28+N28+M28+L28)</f>
        <v>1644.3277390434066</v>
      </c>
    </row>
    <row r="29" spans="2:23" x14ac:dyDescent="0.3">
      <c r="B29" s="84">
        <f>IF($B28=Cáratula!$G$35,$B$21,IF(OR($B28="",$B28=$B$21),"",$B28+1))</f>
        <v>7</v>
      </c>
      <c r="C29" s="85">
        <f>IF(OR($B30=""),$B30,IF(DAY(EOMONTH($C28,1))&lt;Cáratula!$D$69,EOMONTH($C28,1),DATE(YEAR(EOMONTH($C28,1)),MONTH(EOMONTH($C28,1)),Cáratula!$D$69)))</f>
        <v>46402</v>
      </c>
      <c r="D29" s="84">
        <f>IF(OR($B30=""),"",$C29-Cáratula!$G$38)</f>
        <v>184</v>
      </c>
      <c r="E29" s="84">
        <f t="shared" si="1"/>
        <v>31</v>
      </c>
      <c r="F29" s="86">
        <f t="shared" si="2"/>
        <v>80800.24382062527</v>
      </c>
      <c r="G29" s="86">
        <f t="shared" si="3"/>
        <v>79922.186291039689</v>
      </c>
      <c r="H29" s="87">
        <f>IF(OR($B30=""),$B30,(Cáratula!$K$39/365*E29))</f>
        <v>9.0179211092386094E-3</v>
      </c>
      <c r="I29" s="86">
        <f t="shared" si="4"/>
        <v>720.73197085046741</v>
      </c>
      <c r="J29" s="88">
        <f>IF(OR($B30=""),"",IF(C27="",Cáratula!$P$40*E29*G28,Cáratula!$P$40*E29*G29))</f>
        <v>62.475939400834541</v>
      </c>
      <c r="K29" s="88">
        <f t="shared" si="5"/>
        <v>861.11982879210461</v>
      </c>
      <c r="L29" s="88">
        <f t="shared" si="6"/>
        <v>1644.3277390434066</v>
      </c>
      <c r="M29" s="88">
        <f>IF(OR($B30=""),"",IF(Cáratula!$G$40="Físico",10,0))</f>
        <v>0</v>
      </c>
      <c r="N29" s="84"/>
      <c r="O29" s="84"/>
      <c r="P29" s="88">
        <f t="shared" si="7"/>
        <v>1644.3277390434066</v>
      </c>
    </row>
    <row r="30" spans="2:23" x14ac:dyDescent="0.3">
      <c r="B30" s="76">
        <f>IF($B29=Cáratula!$G$35,$B$21,IF(OR($B29="",$B29=$B$21),"",$B29+1))</f>
        <v>8</v>
      </c>
      <c r="C30" s="77">
        <f>IF(OR($B31=""),$B31,IF(DAY(EOMONTH($C29,1))&lt;Cáratula!$D$69,EOMONTH($C29,1),DATE(YEAR(EOMONTH($C29,1)),MONTH(EOMONTH($C29,1)),Cáratula!$D$69)))</f>
        <v>46433</v>
      </c>
      <c r="D30" s="76">
        <f>IF(OR($B31=""),"",$C30-Cáratula!$G$38)</f>
        <v>215</v>
      </c>
      <c r="E30" s="76">
        <f t="shared" si="1"/>
        <v>31</v>
      </c>
      <c r="F30" s="79">
        <f t="shared" si="2"/>
        <v>79922.186291039689</v>
      </c>
      <c r="G30" s="79">
        <f t="shared" si="3"/>
        <v>79061.066462247589</v>
      </c>
      <c r="H30" s="80">
        <f>IF(OR($B31=""),$B31,(Cáratula!$K$39/365*E30))</f>
        <v>9.0179211092386094E-3</v>
      </c>
      <c r="I30" s="79">
        <f t="shared" si="4"/>
        <v>712.96646016881914</v>
      </c>
      <c r="J30" s="82">
        <f>IF(OR($B31=""),"",IF(C28="",Cáratula!$P$40*E30*G29,Cáratula!$P$40*E30*G30))</f>
        <v>61.802793773354331</v>
      </c>
      <c r="K30" s="82">
        <f t="shared" si="5"/>
        <v>869.55848510123315</v>
      </c>
      <c r="L30" s="82">
        <f t="shared" si="6"/>
        <v>1644.3277390434066</v>
      </c>
      <c r="M30" s="82">
        <f>IF(OR($B31=""),"",IF(Cáratula!$G$40="Físico",10,0))</f>
        <v>0</v>
      </c>
      <c r="N30" s="76"/>
      <c r="O30" s="76"/>
      <c r="P30" s="82">
        <f t="shared" si="7"/>
        <v>1644.3277390434066</v>
      </c>
    </row>
    <row r="31" spans="2:23" x14ac:dyDescent="0.3">
      <c r="B31" s="84">
        <f>IF($B30=Cáratula!$G$35,$B$21,IF(OR($B30="",$B30=$B$21),"",$B30+1))</f>
        <v>9</v>
      </c>
      <c r="C31" s="85">
        <f>IF(OR($B32=""),$B32,IF(DAY(EOMONTH($C30,1))&lt;Cáratula!$D$69,EOMONTH($C30,1),DATE(YEAR(EOMONTH($C30,1)),MONTH(EOMONTH($C30,1)),Cáratula!$D$69)))</f>
        <v>46461</v>
      </c>
      <c r="D31" s="84">
        <f>IF(OR($B32=""),"",$C31-Cáratula!$G$38)</f>
        <v>243</v>
      </c>
      <c r="E31" s="84">
        <f t="shared" si="1"/>
        <v>28</v>
      </c>
      <c r="F31" s="86">
        <f t="shared" si="2"/>
        <v>79061.066462247589</v>
      </c>
      <c r="G31" s="86">
        <f t="shared" si="3"/>
        <v>78191.50797714635</v>
      </c>
      <c r="H31" s="87">
        <f>IF(OR($B32=""),$B32,(Cáratula!$K$39/365*E31))</f>
        <v>8.1452190664090662E-3</v>
      </c>
      <c r="I31" s="86">
        <f t="shared" si="4"/>
        <v>636.88696160672907</v>
      </c>
      <c r="J31" s="88">
        <f>IF(OR($B32=""),"",IF(C29="",Cáratula!$P$40*E31*G30,Cáratula!$P$40*E31*G31))</f>
        <v>55.207917544674906</v>
      </c>
      <c r="K31" s="88">
        <f t="shared" si="5"/>
        <v>952.23285989200258</v>
      </c>
      <c r="L31" s="88">
        <f t="shared" si="6"/>
        <v>1644.3277390434066</v>
      </c>
      <c r="M31" s="88">
        <f>IF(OR($B32=""),"",IF(Cáratula!$G$40="Físico",10,0))</f>
        <v>0</v>
      </c>
      <c r="N31" s="84"/>
      <c r="O31" s="84"/>
      <c r="P31" s="88">
        <f t="shared" si="7"/>
        <v>1644.3277390434066</v>
      </c>
    </row>
    <row r="32" spans="2:23" x14ac:dyDescent="0.3">
      <c r="B32" s="76">
        <f>IF($B31=Cáratula!$G$35,$B$21,IF(OR($B31="",$B31=$B$21),"",$B31+1))</f>
        <v>10</v>
      </c>
      <c r="C32" s="77">
        <f>IF(OR($B33=""),$B33,IF(DAY(EOMONTH($C31,1))&lt;Cáratula!$D$69,EOMONTH($C31,1),DATE(YEAR(EOMONTH($C31,1)),MONTH(EOMONTH($C31,1)),Cáratula!$D$69)))</f>
        <v>46492</v>
      </c>
      <c r="D32" s="76">
        <f>IF(OR($B33=""),"",$C32-Cáratula!$G$38)</f>
        <v>274</v>
      </c>
      <c r="E32" s="76">
        <f t="shared" si="1"/>
        <v>31</v>
      </c>
      <c r="F32" s="79">
        <f t="shared" si="2"/>
        <v>78191.50797714635</v>
      </c>
      <c r="G32" s="79">
        <f t="shared" si="3"/>
        <v>77239.27511725435</v>
      </c>
      <c r="H32" s="80">
        <f>IF(OR($B33=""),$B33,(Cáratula!$K$39/365*E32))</f>
        <v>9.0179211092386094E-3</v>
      </c>
      <c r="I32" s="79">
        <f t="shared" si="4"/>
        <v>696.53768954217651</v>
      </c>
      <c r="J32" s="82">
        <f>IF(OR($B33=""),"",IF(C30="",Cáratula!$P$40*E32*G31,Cáratula!$P$40*E32*G32))</f>
        <v>60.378682009741041</v>
      </c>
      <c r="K32" s="82">
        <f t="shared" si="5"/>
        <v>887.41136749148905</v>
      </c>
      <c r="L32" s="82">
        <f t="shared" si="6"/>
        <v>1644.3277390434066</v>
      </c>
      <c r="M32" s="82">
        <f>IF(OR($B33=""),"",IF(Cáratula!$G$40="Físico",10,0))</f>
        <v>0</v>
      </c>
      <c r="N32" s="76"/>
      <c r="O32" s="76"/>
      <c r="P32" s="82">
        <f t="shared" si="7"/>
        <v>1644.3277390434066</v>
      </c>
    </row>
    <row r="33" spans="2:16" x14ac:dyDescent="0.3">
      <c r="B33" s="84">
        <f>IF($B32=Cáratula!$G$35,$B$21,IF(OR($B32="",$B32=$B$21),"",$B32+1))</f>
        <v>11</v>
      </c>
      <c r="C33" s="85">
        <f>IF(OR($B34=""),$B34,IF(DAY(EOMONTH($C32,1))&lt;Cáratula!$D$69,EOMONTH($C32,1),DATE(YEAR(EOMONTH($C32,1)),MONTH(EOMONTH($C32,1)),Cáratula!$D$69)))</f>
        <v>46522</v>
      </c>
      <c r="D33" s="84">
        <f>IF(OR($B34=""),"",$C33-Cáratula!$G$38)</f>
        <v>304</v>
      </c>
      <c r="E33" s="84">
        <f t="shared" si="1"/>
        <v>30</v>
      </c>
      <c r="F33" s="86">
        <f t="shared" si="2"/>
        <v>77239.27511725435</v>
      </c>
      <c r="G33" s="86">
        <f t="shared" si="3"/>
        <v>76351.863749762866</v>
      </c>
      <c r="H33" s="87">
        <f>IF(OR($B34=""),$B34,(Cáratula!$K$39/365*E33))</f>
        <v>8.7270204282954289E-3</v>
      </c>
      <c r="I33" s="86">
        <f t="shared" si="4"/>
        <v>666.32427468260971</v>
      </c>
      <c r="J33" s="88">
        <f>IF(OR($B34=""),"",IF(C31="",Cáratula!$P$40*E33*G32,Cáratula!$P$40*E33*G33))</f>
        <v>57.759661968724714</v>
      </c>
      <c r="K33" s="88">
        <f t="shared" si="5"/>
        <v>920.24380239207221</v>
      </c>
      <c r="L33" s="88">
        <f t="shared" si="6"/>
        <v>1644.3277390434066</v>
      </c>
      <c r="M33" s="88">
        <f>IF(OR($B34=""),"",IF(Cáratula!$G$40="Físico",10,0))</f>
        <v>0</v>
      </c>
      <c r="N33" s="84"/>
      <c r="O33" s="84"/>
      <c r="P33" s="88">
        <f t="shared" si="7"/>
        <v>1644.3277390434066</v>
      </c>
    </row>
    <row r="34" spans="2:16" x14ac:dyDescent="0.3">
      <c r="B34" s="76">
        <f>IF($B33=Cáratula!$G$35,$B$21,IF(OR($B33="",$B33=$B$21),"",$B33+1))</f>
        <v>12</v>
      </c>
      <c r="C34" s="77">
        <f>IF(OR($B35=""),$B35,IF(DAY(EOMONTH($C33,1))&lt;Cáratula!$D$69,EOMONTH($C33,1),DATE(YEAR(EOMONTH($C33,1)),MONTH(EOMONTH($C33,1)),Cáratula!$D$69)))</f>
        <v>46553</v>
      </c>
      <c r="D34" s="76">
        <f>IF(OR($B35=""),"",$C34-Cáratula!$G$38)</f>
        <v>335</v>
      </c>
      <c r="E34" s="76">
        <f t="shared" si="1"/>
        <v>31</v>
      </c>
      <c r="F34" s="79">
        <f t="shared" si="2"/>
        <v>76351.863749762866</v>
      </c>
      <c r="G34" s="79">
        <f t="shared" si="3"/>
        <v>75431.619947370797</v>
      </c>
      <c r="H34" s="80">
        <f>IF(OR($B35=""),$B35,(Cáratula!$K$39/365*E34))</f>
        <v>9.0179211092386094E-3</v>
      </c>
      <c r="I34" s="79">
        <f t="shared" si="4"/>
        <v>680.23639782745931</v>
      </c>
      <c r="J34" s="82">
        <f>IF(OR($B35=""),"",IF(C32="",Cáratula!$P$40*E34*G33,Cáratula!$P$40*E34*G34))</f>
        <v>58.965620629763357</v>
      </c>
      <c r="K34" s="82">
        <f t="shared" si="5"/>
        <v>905.12572058618389</v>
      </c>
      <c r="L34" s="82">
        <f t="shared" si="6"/>
        <v>1644.3277390434066</v>
      </c>
      <c r="M34" s="82">
        <f>IF(OR($B35=""),"",IF(Cáratula!$G$40="Físico",10,0))</f>
        <v>0</v>
      </c>
      <c r="N34" s="76"/>
      <c r="O34" s="76"/>
      <c r="P34" s="82">
        <f t="shared" si="7"/>
        <v>1644.3277390434066</v>
      </c>
    </row>
    <row r="35" spans="2:16" x14ac:dyDescent="0.3">
      <c r="B35" s="84">
        <f>IF($B34=Cáratula!$G$35,$B$21,IF(OR($B34="",$B34=$B$21),"",$B34+1))</f>
        <v>13</v>
      </c>
      <c r="C35" s="85">
        <f>IF(OR($B36=""),$B36,IF(DAY(EOMONTH($C34,1))&lt;Cáratula!$D$69,EOMONTH($C34,1),DATE(YEAR(EOMONTH($C34,1)),MONTH(EOMONTH($C34,1)),Cáratula!$D$69)))</f>
        <v>46583</v>
      </c>
      <c r="D35" s="84">
        <f>IF(OR($B36=""),"",$C35-Cáratula!$G$38)</f>
        <v>365</v>
      </c>
      <c r="E35" s="84">
        <f t="shared" si="1"/>
        <v>30</v>
      </c>
      <c r="F35" s="86">
        <f t="shared" si="2"/>
        <v>75431.619947370797</v>
      </c>
      <c r="G35" s="86">
        <f t="shared" si="3"/>
        <v>74526.49422678462</v>
      </c>
      <c r="H35" s="87">
        <f>IF(OR($B36=""),$B36,(Cáratula!$K$39/365*E35))</f>
        <v>8.7270204282954289E-3</v>
      </c>
      <c r="I35" s="86">
        <f t="shared" si="4"/>
        <v>650.39423756639076</v>
      </c>
      <c r="J35" s="88">
        <f>IF(OR($B36=""),"",IF(C33="",Cáratula!$P$40*E35*G34,Cáratula!$P$40*E35*G35))</f>
        <v>56.378782427122651</v>
      </c>
      <c r="K35" s="88">
        <f t="shared" si="5"/>
        <v>937.55471904989315</v>
      </c>
      <c r="L35" s="88">
        <f t="shared" si="6"/>
        <v>1644.3277390434066</v>
      </c>
      <c r="M35" s="88">
        <f>IF(OR($B36=""),"",IF(Cáratula!$G$40="Físico",10,0))</f>
        <v>0</v>
      </c>
      <c r="N35" s="84"/>
      <c r="O35" s="84"/>
      <c r="P35" s="88">
        <f t="shared" si="7"/>
        <v>1644.3277390434066</v>
      </c>
    </row>
    <row r="36" spans="2:16" x14ac:dyDescent="0.3">
      <c r="B36" s="76">
        <f>IF($B35=Cáratula!$G$35,$B$21,IF(OR($B35="",$B35=$B$21),"",$B35+1))</f>
        <v>14</v>
      </c>
      <c r="C36" s="77">
        <f>IF(OR($B37=""),$B37,IF(DAY(EOMONTH($C35,1))&lt;Cáratula!$D$69,EOMONTH($C35,1),DATE(YEAR(EOMONTH($C35,1)),MONTH(EOMONTH($C35,1)),Cáratula!$D$69)))</f>
        <v>46614</v>
      </c>
      <c r="D36" s="76">
        <f>IF(OR($B37=""),"",$C36-Cáratula!$G$38)</f>
        <v>396</v>
      </c>
      <c r="E36" s="76">
        <f t="shared" si="1"/>
        <v>31</v>
      </c>
      <c r="F36" s="79">
        <f t="shared" si="2"/>
        <v>74526.49422678462</v>
      </c>
      <c r="G36" s="79">
        <f t="shared" si="3"/>
        <v>73588.939507734729</v>
      </c>
      <c r="H36" s="80">
        <f>IF(OR($B37=""),$B37,(Cáratula!$K$39/365*E36))</f>
        <v>9.0179211092386094E-3</v>
      </c>
      <c r="I36" s="79">
        <f t="shared" si="4"/>
        <v>663.61925099328414</v>
      </c>
      <c r="J36" s="82">
        <f>IF(OR($B37=""),"",IF(C34="",Cáratula!$P$40*E36*G35,Cáratula!$P$40*E36*G36))</f>
        <v>57.525179660561378</v>
      </c>
      <c r="K36" s="82">
        <f t="shared" si="5"/>
        <v>923.18330838956103</v>
      </c>
      <c r="L36" s="82">
        <f t="shared" si="6"/>
        <v>1644.3277390434066</v>
      </c>
      <c r="M36" s="82">
        <f>IF(OR($B37=""),"",IF(Cáratula!$G$40="Físico",10,0))</f>
        <v>0</v>
      </c>
      <c r="N36" s="76"/>
      <c r="O36" s="76"/>
      <c r="P36" s="82">
        <f t="shared" si="7"/>
        <v>1644.3277390434066</v>
      </c>
    </row>
    <row r="37" spans="2:16" x14ac:dyDescent="0.3">
      <c r="B37" s="84">
        <f>IF($B36=Cáratula!$G$35,$B$21,IF(OR($B36="",$B36=$B$21),"",$B36+1))</f>
        <v>15</v>
      </c>
      <c r="C37" s="85">
        <f>IF(OR($B38=""),$B38,IF(DAY(EOMONTH($C36,1))&lt;Cáratula!$D$69,EOMONTH($C36,1),DATE(YEAR(EOMONTH($C36,1)),MONTH(EOMONTH($C36,1)),Cáratula!$D$69)))</f>
        <v>46645</v>
      </c>
      <c r="D37" s="84">
        <f>IF(OR($B38=""),"",$C37-Cáratula!$G$38)</f>
        <v>427</v>
      </c>
      <c r="E37" s="84">
        <f t="shared" si="1"/>
        <v>31</v>
      </c>
      <c r="F37" s="86">
        <f t="shared" si="2"/>
        <v>73588.939507734729</v>
      </c>
      <c r="G37" s="86">
        <f t="shared" si="3"/>
        <v>72665.756199345167</v>
      </c>
      <c r="H37" s="87">
        <f>IF(OR($B38=""),$B38,(Cáratula!$K$39/365*E37))</f>
        <v>9.0179211092386094E-3</v>
      </c>
      <c r="I37" s="86">
        <f t="shared" si="4"/>
        <v>655.29405674886118</v>
      </c>
      <c r="J37" s="88">
        <f>IF(OR($B38=""),"",IF(C35="",Cáratula!$P$40*E37*G36,Cáratula!$P$40*E37*G37))</f>
        <v>56.803518415950577</v>
      </c>
      <c r="K37" s="88">
        <f t="shared" si="5"/>
        <v>932.23016387859479</v>
      </c>
      <c r="L37" s="88">
        <f t="shared" si="6"/>
        <v>1644.3277390434066</v>
      </c>
      <c r="M37" s="88">
        <f>IF(OR($B38=""),"",IF(Cáratula!$G$40="Físico",10,0))</f>
        <v>0</v>
      </c>
      <c r="N37" s="84"/>
      <c r="O37" s="84"/>
      <c r="P37" s="88">
        <f t="shared" si="7"/>
        <v>1644.3277390434066</v>
      </c>
    </row>
    <row r="38" spans="2:16" x14ac:dyDescent="0.3">
      <c r="B38" s="76">
        <f>IF($B37=Cáratula!$G$35,$B$21,IF(OR($B37="",$B37=$B$21),"",$B37+1))</f>
        <v>16</v>
      </c>
      <c r="C38" s="77">
        <f>IF(OR($B39=""),$B39,IF(DAY(EOMONTH($C37,1))&lt;Cáratula!$D$69,EOMONTH($C37,1),DATE(YEAR(EOMONTH($C37,1)),MONTH(EOMONTH($C37,1)),Cáratula!$D$69)))</f>
        <v>46675</v>
      </c>
      <c r="D38" s="76">
        <f>IF(OR($B39=""),"",$C38-Cáratula!$G$38)</f>
        <v>457</v>
      </c>
      <c r="E38" s="76">
        <f t="shared" si="1"/>
        <v>30</v>
      </c>
      <c r="F38" s="79">
        <f t="shared" si="2"/>
        <v>72665.756199345167</v>
      </c>
      <c r="G38" s="79">
        <f t="shared" si="3"/>
        <v>71733.526035466566</v>
      </c>
      <c r="H38" s="80">
        <f>IF(OR($B39=""),$B39,(Cáratula!$K$39/365*E38))</f>
        <v>8.7270204282954289E-3</v>
      </c>
      <c r="I38" s="79">
        <f t="shared" si="4"/>
        <v>626.01994710517874</v>
      </c>
      <c r="J38" s="82">
        <f>IF(OR($B39=""),"",IF(C36="",Cáratula!$P$40*E38*G37,Cáratula!$P$40*E38*G38))</f>
        <v>54.265921120309663</v>
      </c>
      <c r="K38" s="82">
        <f t="shared" si="5"/>
        <v>964.04187081791815</v>
      </c>
      <c r="L38" s="82">
        <f t="shared" si="6"/>
        <v>1644.3277390434066</v>
      </c>
      <c r="M38" s="82">
        <f>IF(OR($B39=""),"",IF(Cáratula!$G$40="Físico",10,0))</f>
        <v>0</v>
      </c>
      <c r="N38" s="76"/>
      <c r="O38" s="76"/>
      <c r="P38" s="82">
        <f t="shared" si="7"/>
        <v>1644.3277390434066</v>
      </c>
    </row>
    <row r="39" spans="2:16" x14ac:dyDescent="0.3">
      <c r="B39" s="84">
        <f>IF($B38=Cáratula!$G$35,$B$21,IF(OR($B38="",$B38=$B$21),"",$B38+1))</f>
        <v>17</v>
      </c>
      <c r="C39" s="85">
        <f>IF(OR($B40=""),$B40,IF(DAY(EOMONTH($C38,1))&lt;Cáratula!$D$69,EOMONTH($C38,1),DATE(YEAR(EOMONTH($C38,1)),MONTH(EOMONTH($C38,1)),Cáratula!$D$69)))</f>
        <v>46706</v>
      </c>
      <c r="D39" s="84">
        <f>IF(OR($B40=""),"",$C39-Cáratula!$G$38)</f>
        <v>488</v>
      </c>
      <c r="E39" s="84">
        <f t="shared" si="1"/>
        <v>31</v>
      </c>
      <c r="F39" s="86">
        <f t="shared" si="2"/>
        <v>71733.526035466566</v>
      </c>
      <c r="G39" s="86">
        <f t="shared" si="3"/>
        <v>70769.484164648646</v>
      </c>
      <c r="H39" s="87">
        <f>IF(OR($B40=""),$B40,(Cáratula!$K$39/365*E39))</f>
        <v>9.0179211092386094E-3</v>
      </c>
      <c r="I39" s="86">
        <f t="shared" si="4"/>
        <v>638.19362513831254</v>
      </c>
      <c r="J39" s="88">
        <f>IF(OR($B40=""),"",IF(C37="",Cáratula!$P$40*E39*G38,Cáratula!$P$40*E39*G39))</f>
        <v>55.321184382997835</v>
      </c>
      <c r="K39" s="88">
        <f t="shared" si="5"/>
        <v>950.81292952209628</v>
      </c>
      <c r="L39" s="88">
        <f t="shared" si="6"/>
        <v>1644.3277390434066</v>
      </c>
      <c r="M39" s="88">
        <f>IF(OR($B40=""),"",IF(Cáratula!$G$40="Físico",10,0))</f>
        <v>0</v>
      </c>
      <c r="N39" s="84"/>
      <c r="O39" s="84"/>
      <c r="P39" s="88">
        <f t="shared" si="7"/>
        <v>1644.3277390434066</v>
      </c>
    </row>
    <row r="40" spans="2:16" x14ac:dyDescent="0.3">
      <c r="B40" s="76">
        <f>IF($B39=Cáratula!$G$35,$B$21,IF(OR($B39="",$B39=$B$21),"",$B39+1))</f>
        <v>18</v>
      </c>
      <c r="C40" s="77">
        <f>IF(OR($B41=""),$B41,IF(DAY(EOMONTH($C39,1))&lt;Cáratula!$D$69,EOMONTH($C39,1),DATE(YEAR(EOMONTH($C39,1)),MONTH(EOMONTH($C39,1)),Cáratula!$D$69)))</f>
        <v>46736</v>
      </c>
      <c r="D40" s="76">
        <f>IF(OR($B41=""),"",$C40-Cáratula!$G$38)</f>
        <v>518</v>
      </c>
      <c r="E40" s="76">
        <f t="shared" si="1"/>
        <v>30</v>
      </c>
      <c r="F40" s="79">
        <f t="shared" si="2"/>
        <v>70769.484164648646</v>
      </c>
      <c r="G40" s="79">
        <f t="shared" si="3"/>
        <v>69818.671235126545</v>
      </c>
      <c r="H40" s="80">
        <f>IF(OR($B41=""),$B41,(Cáratula!$K$39/365*E40))</f>
        <v>8.7270204282954289E-3</v>
      </c>
      <c r="I40" s="79">
        <f t="shared" si="4"/>
        <v>609.30897014539175</v>
      </c>
      <c r="J40" s="82">
        <f>IF(OR($B41=""),"",IF(C38="",Cáratula!$P$40*E40*G39,Cáratula!$P$40*E40*G40))</f>
        <v>52.817346579296277</v>
      </c>
      <c r="K40" s="82">
        <f t="shared" si="5"/>
        <v>982.20142231871864</v>
      </c>
      <c r="L40" s="82">
        <f t="shared" si="6"/>
        <v>1644.3277390434066</v>
      </c>
      <c r="M40" s="82">
        <f>IF(OR($B41=""),"",IF(Cáratula!$G$40="Físico",10,0))</f>
        <v>0</v>
      </c>
      <c r="N40" s="76"/>
      <c r="O40" s="76"/>
      <c r="P40" s="82">
        <f t="shared" si="7"/>
        <v>1644.3277390434066</v>
      </c>
    </row>
    <row r="41" spans="2:16" x14ac:dyDescent="0.3">
      <c r="B41" s="84">
        <f>IF($B40=Cáratula!$G$35,$B$21,IF(OR($B40="",$B40=$B$21),"",$B40+1))</f>
        <v>19</v>
      </c>
      <c r="C41" s="85">
        <f>IF(OR($B42=""),$B42,IF(DAY(EOMONTH($C40,1))&lt;Cáratula!$D$69,EOMONTH($C40,1),DATE(YEAR(EOMONTH($C40,1)),MONTH(EOMONTH($C40,1)),Cáratula!$D$69)))</f>
        <v>46767</v>
      </c>
      <c r="D41" s="84">
        <f>IF(OR($B42=""),"",$C41-Cáratula!$G$38)</f>
        <v>549</v>
      </c>
      <c r="E41" s="84">
        <f t="shared" si="1"/>
        <v>31</v>
      </c>
      <c r="F41" s="86">
        <f t="shared" si="2"/>
        <v>69818.671235126545</v>
      </c>
      <c r="G41" s="86">
        <f t="shared" si="3"/>
        <v>68836.469812807831</v>
      </c>
      <c r="H41" s="87">
        <f>IF(OR($B42=""),$B42,(Cáratula!$K$39/365*E41))</f>
        <v>9.0179211092386094E-3</v>
      </c>
      <c r="I41" s="86">
        <f t="shared" si="4"/>
        <v>620.76185421038599</v>
      </c>
      <c r="J41" s="88">
        <f>IF(OR($B42=""),"",IF(C39="",Cáratula!$P$40*E41*G40,Cáratula!$P$40*E41*G41))</f>
        <v>53.810128528409813</v>
      </c>
      <c r="K41" s="88">
        <f t="shared" si="5"/>
        <v>969.75575630461083</v>
      </c>
      <c r="L41" s="88">
        <f t="shared" si="6"/>
        <v>1644.3277390434066</v>
      </c>
      <c r="M41" s="88">
        <f>IF(OR($B42=""),"",IF(Cáratula!$G$40="Físico",10,0))</f>
        <v>0</v>
      </c>
      <c r="N41" s="84"/>
      <c r="O41" s="84"/>
      <c r="P41" s="88">
        <f t="shared" si="7"/>
        <v>1644.3277390434066</v>
      </c>
    </row>
    <row r="42" spans="2:16" x14ac:dyDescent="0.3">
      <c r="B42" s="76">
        <f>IF($B41=Cáratula!$G$35,$B$21,IF(OR($B41="",$B41=$B$21),"",$B41+1))</f>
        <v>20</v>
      </c>
      <c r="C42" s="77">
        <f>IF(OR($B43=""),$B43,IF(DAY(EOMONTH($C41,1))&lt;Cáratula!$D$69,EOMONTH($C41,1),DATE(YEAR(EOMONTH($C41,1)),MONTH(EOMONTH($C41,1)),Cáratula!$D$69)))</f>
        <v>46798</v>
      </c>
      <c r="D42" s="76">
        <f>IF(OR($B43=""),"",$C42-Cáratula!$G$38)</f>
        <v>580</v>
      </c>
      <c r="E42" s="76">
        <f t="shared" si="1"/>
        <v>31</v>
      </c>
      <c r="F42" s="79">
        <f t="shared" si="2"/>
        <v>68836.469812807831</v>
      </c>
      <c r="G42" s="79">
        <f t="shared" si="3"/>
        <v>67866.714056503217</v>
      </c>
      <c r="H42" s="80">
        <f>IF(OR($B43=""),$B43,(Cáratula!$K$39/365*E42))</f>
        <v>9.0179211092386094E-3</v>
      </c>
      <c r="I42" s="79">
        <f t="shared" si="4"/>
        <v>612.01667330480097</v>
      </c>
      <c r="J42" s="82">
        <f>IF(OR($B43=""),"",IF(C40="",Cáratula!$P$40*E42*G41,Cáratula!$P$40*E42*G42))</f>
        <v>53.05206115467869</v>
      </c>
      <c r="K42" s="82">
        <f t="shared" si="5"/>
        <v>979.25900458392687</v>
      </c>
      <c r="L42" s="82">
        <f t="shared" si="6"/>
        <v>1644.3277390434066</v>
      </c>
      <c r="M42" s="82">
        <f>IF(OR($B43=""),"",IF(Cáratula!$G$40="Físico",10,0))</f>
        <v>0</v>
      </c>
      <c r="N42" s="76"/>
      <c r="O42" s="76"/>
      <c r="P42" s="82">
        <f t="shared" si="7"/>
        <v>1644.3277390434066</v>
      </c>
    </row>
    <row r="43" spans="2:16" x14ac:dyDescent="0.3">
      <c r="B43" s="84">
        <f>IF($B42=Cáratula!$G$35,$B$21,IF(OR($B42="",$B42=$B$21),"",$B42+1))</f>
        <v>21</v>
      </c>
      <c r="C43" s="85">
        <f>IF(OR($B44=""),$B44,IF(DAY(EOMONTH($C42,1))&lt;Cáratula!$D$69,EOMONTH($C42,1),DATE(YEAR(EOMONTH($C42,1)),MONTH(EOMONTH($C42,1)),Cáratula!$D$69)))</f>
        <v>46827</v>
      </c>
      <c r="D43" s="84">
        <f>IF(OR($B44=""),"",$C43-Cáratula!$G$38)</f>
        <v>609</v>
      </c>
      <c r="E43" s="84">
        <f t="shared" si="1"/>
        <v>29</v>
      </c>
      <c r="F43" s="86">
        <f t="shared" si="2"/>
        <v>67866.714056503217</v>
      </c>
      <c r="G43" s="86">
        <f t="shared" si="3"/>
        <v>66887.455051919285</v>
      </c>
      <c r="H43" s="87">
        <f>IF(OR($B44=""),$B44,(Cáratula!$K$39/365*E43))</f>
        <v>8.4361197473522467E-3</v>
      </c>
      <c r="I43" s="86">
        <f t="shared" si="4"/>
        <v>564.27058041363205</v>
      </c>
      <c r="J43" s="88">
        <f>IF(OR($B44=""),"",IF(C41="",Cáratula!$P$40*E43*G42,Cáratula!$P$40*E43*G43))</f>
        <v>48.913238226405724</v>
      </c>
      <c r="K43" s="88">
        <f t="shared" si="5"/>
        <v>1031.1439204033691</v>
      </c>
      <c r="L43" s="88">
        <f t="shared" si="6"/>
        <v>1644.3277390434066</v>
      </c>
      <c r="M43" s="88">
        <f>IF(OR($B44=""),"",IF(Cáratula!$G$40="Físico",10,0))</f>
        <v>0</v>
      </c>
      <c r="N43" s="84"/>
      <c r="O43" s="84"/>
      <c r="P43" s="88">
        <f t="shared" si="7"/>
        <v>1644.3277390434066</v>
      </c>
    </row>
    <row r="44" spans="2:16" x14ac:dyDescent="0.3">
      <c r="B44" s="76">
        <f>IF($B43=Cáratula!$G$35,$B$21,IF(OR($B43="",$B43=$B$21),"",$B43+1))</f>
        <v>22</v>
      </c>
      <c r="C44" s="77">
        <f>IF(OR($B45=""),$B45,IF(DAY(EOMONTH($C43,1))&lt;Cáratula!$D$69,EOMONTH($C43,1),DATE(YEAR(EOMONTH($C43,1)),MONTH(EOMONTH($C43,1)),Cáratula!$D$69)))</f>
        <v>46858</v>
      </c>
      <c r="D44" s="76">
        <f>IF(OR($B45=""),"",$C44-Cáratula!$G$38)</f>
        <v>640</v>
      </c>
      <c r="E44" s="76">
        <f t="shared" si="1"/>
        <v>31</v>
      </c>
      <c r="F44" s="79">
        <f t="shared" si="2"/>
        <v>66887.455051919285</v>
      </c>
      <c r="G44" s="79">
        <f t="shared" si="3"/>
        <v>65856.311131515919</v>
      </c>
      <c r="H44" s="80">
        <f>IF(OR($B45=""),$B45,(Cáratula!$K$39/365*E44))</f>
        <v>9.0179211092386094E-3</v>
      </c>
      <c r="I44" s="79">
        <f t="shared" si="4"/>
        <v>593.887018329483</v>
      </c>
      <c r="J44" s="82">
        <f>IF(OR($B45=""),"",IF(C42="",Cáratula!$P$40*E44*G43,Cáratula!$P$40*E44*G44))</f>
        <v>51.480509910379858</v>
      </c>
      <c r="K44" s="82">
        <f t="shared" si="5"/>
        <v>998.96021080354376</v>
      </c>
      <c r="L44" s="82">
        <f t="shared" si="6"/>
        <v>1644.3277390434066</v>
      </c>
      <c r="M44" s="82">
        <f>IF(OR($B45=""),"",IF(Cáratula!$G$40="Físico",10,0))</f>
        <v>0</v>
      </c>
      <c r="N44" s="76"/>
      <c r="O44" s="76"/>
      <c r="P44" s="82">
        <f t="shared" si="7"/>
        <v>1644.3277390434066</v>
      </c>
    </row>
    <row r="45" spans="2:16" x14ac:dyDescent="0.3">
      <c r="B45" s="84">
        <f>IF($B44=Cáratula!$G$35,$B$21,IF(OR($B44="",$B44=$B$21),"",$B44+1))</f>
        <v>23</v>
      </c>
      <c r="C45" s="85">
        <f>IF(OR($B46=""),$B46,IF(DAY(EOMONTH($C44,1))&lt;Cáratula!$D$69,EOMONTH($C44,1),DATE(YEAR(EOMONTH($C44,1)),MONTH(EOMONTH($C44,1)),Cáratula!$D$69)))</f>
        <v>46888</v>
      </c>
      <c r="D45" s="84">
        <f>IF(OR($B46=""),"",$C45-Cáratula!$G$38)</f>
        <v>670</v>
      </c>
      <c r="E45" s="84">
        <f t="shared" si="1"/>
        <v>30</v>
      </c>
      <c r="F45" s="86">
        <f t="shared" si="2"/>
        <v>65856.311131515919</v>
      </c>
      <c r="G45" s="86">
        <f t="shared" si="3"/>
        <v>64857.350920712372</v>
      </c>
      <c r="H45" s="87">
        <f>IF(OR($B46=""),$B46,(Cáratula!$K$39/365*E45))</f>
        <v>8.7270204282954289E-3</v>
      </c>
      <c r="I45" s="86">
        <f t="shared" si="4"/>
        <v>566.01142641018225</v>
      </c>
      <c r="J45" s="88">
        <f>IF(OR($B46=""),"",IF(C43="",Cáratula!$P$40*E45*G44,Cáratula!$P$40*E45*G45))</f>
        <v>49.064141743087944</v>
      </c>
      <c r="K45" s="88">
        <f t="shared" si="5"/>
        <v>1029.2521708901363</v>
      </c>
      <c r="L45" s="88">
        <f t="shared" si="6"/>
        <v>1644.3277390434066</v>
      </c>
      <c r="M45" s="88">
        <f>IF(OR($B46=""),"",IF(Cáratula!$G$40="Físico",10,0))</f>
        <v>0</v>
      </c>
      <c r="N45" s="84"/>
      <c r="O45" s="84"/>
      <c r="P45" s="88">
        <f t="shared" si="7"/>
        <v>1644.3277390434066</v>
      </c>
    </row>
    <row r="46" spans="2:16" x14ac:dyDescent="0.3">
      <c r="B46" s="76">
        <f>IF($B45=Cáratula!$G$35,$B$21,IF(OR($B45="",$B45=$B$21),"",$B45+1))</f>
        <v>24</v>
      </c>
      <c r="C46" s="77">
        <f>IF(OR($B47=""),$B47,IF(DAY(EOMONTH($C45,1))&lt;Cáratula!$D$69,EOMONTH($C45,1),DATE(YEAR(EOMONTH($C45,1)),MONTH(EOMONTH($C45,1)),Cáratula!$D$69)))</f>
        <v>46919</v>
      </c>
      <c r="D46" s="76">
        <f>IF(OR($B47=""),"",$C46-Cáratula!$G$38)</f>
        <v>701</v>
      </c>
      <c r="E46" s="76">
        <f t="shared" si="1"/>
        <v>31</v>
      </c>
      <c r="F46" s="79">
        <f t="shared" si="2"/>
        <v>64857.350920712372</v>
      </c>
      <c r="G46" s="79">
        <f t="shared" si="3"/>
        <v>63828.098749822238</v>
      </c>
      <c r="H46" s="80">
        <f>IF(OR($B47=""),$B47,(Cáratula!$K$39/365*E46))</f>
        <v>9.0179211092386094E-3</v>
      </c>
      <c r="I46" s="79">
        <f t="shared" si="4"/>
        <v>575.59675907858843</v>
      </c>
      <c r="J46" s="82">
        <f>IF(OR($B47=""),"",IF(C44="",Cáratula!$P$40*E46*G45,Cáratula!$P$40*E46*G46))</f>
        <v>49.895036842998024</v>
      </c>
      <c r="K46" s="82">
        <f t="shared" si="5"/>
        <v>1018.8359431218203</v>
      </c>
      <c r="L46" s="82">
        <f t="shared" si="6"/>
        <v>1644.3277390434066</v>
      </c>
      <c r="M46" s="82">
        <f>IF(OR($B47=""),"",IF(Cáratula!$G$40="Físico",10,0))</f>
        <v>0</v>
      </c>
      <c r="N46" s="76"/>
      <c r="O46" s="76"/>
      <c r="P46" s="82">
        <f t="shared" si="7"/>
        <v>1644.3277390434066</v>
      </c>
    </row>
    <row r="47" spans="2:16" x14ac:dyDescent="0.3">
      <c r="B47" s="91">
        <f>IF($B46=Cáratula!$G$35,$B$21,IF(OR($B46="",$B46=$B$21),"",$B46+1))</f>
        <v>25</v>
      </c>
      <c r="C47" s="85">
        <f>IF(OR($B48=""),$B48,IF(DAY(EOMONTH($C46,1))&lt;Cáratula!$D$69,EOMONTH($C46,1),DATE(YEAR(EOMONTH($C46,1)),MONTH(EOMONTH($C46,1)),Cáratula!$D$69)))</f>
        <v>46949</v>
      </c>
      <c r="D47" s="84">
        <f>IF(OR($B48=""),"",$C47-Cáratula!$G$38)</f>
        <v>731</v>
      </c>
      <c r="E47" s="84">
        <f t="shared" si="1"/>
        <v>30</v>
      </c>
      <c r="F47" s="86">
        <f t="shared" si="2"/>
        <v>63828.098749822238</v>
      </c>
      <c r="G47" s="86">
        <f t="shared" si="3"/>
        <v>62809.262806700419</v>
      </c>
      <c r="H47" s="87">
        <f>IF(OR($B48=""),$B48,(Cáratula!$K$39/365*E47))</f>
        <v>8.7270204282954289E-3</v>
      </c>
      <c r="I47" s="86">
        <f t="shared" si="4"/>
        <v>548.13771960025088</v>
      </c>
      <c r="J47" s="88">
        <f>IF(OR($B48=""),"",IF(C45="",Cáratula!$P$40*E47*G46,Cáratula!$P$40*E47*G47))</f>
        <v>47.514777112838679</v>
      </c>
      <c r="K47" s="88">
        <f t="shared" si="5"/>
        <v>1048.6752423303171</v>
      </c>
      <c r="L47" s="88">
        <f t="shared" si="6"/>
        <v>1644.3277390434066</v>
      </c>
      <c r="M47" s="88">
        <f>IF(OR($B48=""),"",IF(Cáratula!$G$40="Físico",10,0))</f>
        <v>0</v>
      </c>
      <c r="N47" s="84"/>
      <c r="O47" s="84"/>
      <c r="P47" s="88">
        <f t="shared" si="7"/>
        <v>1644.3277390434066</v>
      </c>
    </row>
    <row r="48" spans="2:16" x14ac:dyDescent="0.3">
      <c r="B48" s="92">
        <f>IF($B47=Cáratula!$G$35,$B$21,IF(OR($B47="",$B47=$B$21),"",$B47+1))</f>
        <v>26</v>
      </c>
      <c r="C48" s="77">
        <f>IF(OR($B49=""),$B49,IF(DAY(EOMONTH($C47,1))&lt;Cáratula!$D$69,EOMONTH($C47,1),DATE(YEAR(EOMONTH($C47,1)),MONTH(EOMONTH($C47,1)),Cáratula!$D$69)))</f>
        <v>46980</v>
      </c>
      <c r="D48" s="76">
        <f>IF(OR($B49=""),"",$C48-Cáratula!$G$38)</f>
        <v>762</v>
      </c>
      <c r="E48" s="76">
        <f t="shared" si="1"/>
        <v>31</v>
      </c>
      <c r="F48" s="79">
        <f t="shared" ref="F48:F89" si="8">IF(OR($B49=""),"",G47)</f>
        <v>62809.262806700419</v>
      </c>
      <c r="G48" s="79">
        <f t="shared" si="3"/>
        <v>61760.5875643701</v>
      </c>
      <c r="H48" s="80">
        <f>IF(OR($B49=""),$B49,(Cáratula!$K$39/365*E48))</f>
        <v>9.0179211092386094E-3</v>
      </c>
      <c r="I48" s="79">
        <f t="shared" si="4"/>
        <v>556.95210631571263</v>
      </c>
      <c r="J48" s="82">
        <f>IF(OR($B49=""),"",IF(C46="",Cáratula!$P$40*E48*G47,Cáratula!$P$40*E48*G48))</f>
        <v>48.278843523880369</v>
      </c>
      <c r="K48" s="82">
        <f t="shared" si="5"/>
        <v>1039.0967892038136</v>
      </c>
      <c r="L48" s="82">
        <f t="shared" si="6"/>
        <v>1644.3277390434066</v>
      </c>
      <c r="M48" s="82">
        <f>IF(OR($B49=""),"",IF(Cáratula!$G$40="Físico",10,0))</f>
        <v>0</v>
      </c>
      <c r="N48" s="76"/>
      <c r="O48" s="76"/>
      <c r="P48" s="82">
        <f t="shared" si="7"/>
        <v>1644.3277390434066</v>
      </c>
    </row>
    <row r="49" spans="2:16" x14ac:dyDescent="0.3">
      <c r="B49" s="91">
        <f>IF($B48=Cáratula!$G$35,$B$21,IF(OR($B48="",$B48=$B$21),"",$B48+1))</f>
        <v>27</v>
      </c>
      <c r="C49" s="85">
        <f>IF(OR($B50=""),$B50,IF(DAY(EOMONTH($C48,1))&lt;Cáratula!$D$69,EOMONTH($C48,1),DATE(YEAR(EOMONTH($C48,1)),MONTH(EOMONTH($C48,1)),Cáratula!$D$69)))</f>
        <v>47011</v>
      </c>
      <c r="D49" s="84">
        <f>IF(OR($B50=""),"",$C49-Cáratula!$G$38)</f>
        <v>793</v>
      </c>
      <c r="E49" s="84">
        <f t="shared" si="1"/>
        <v>31</v>
      </c>
      <c r="F49" s="86">
        <f t="shared" si="8"/>
        <v>61760.5875643701</v>
      </c>
      <c r="G49" s="86">
        <f t="shared" si="3"/>
        <v>60721.490775166283</v>
      </c>
      <c r="H49" s="87">
        <f>IF(OR($B50=""),$B50,(Cáratula!$K$39/365*E49))</f>
        <v>9.0179211092386094E-3</v>
      </c>
      <c r="I49" s="86">
        <f t="shared" si="4"/>
        <v>547.58161344580947</v>
      </c>
      <c r="J49" s="88">
        <f>IF(OR($B50=""),"",IF(C47="",Cáratula!$P$40*E49*G48,Cáratula!$P$40*E49*G49))</f>
        <v>47.466571599817925</v>
      </c>
      <c r="K49" s="88">
        <f t="shared" si="5"/>
        <v>1049.2795539977794</v>
      </c>
      <c r="L49" s="88">
        <f t="shared" si="6"/>
        <v>1644.3277390434066</v>
      </c>
      <c r="M49" s="88">
        <f>IF(OR($B50=""),"",IF(Cáratula!$G$40="Físico",10,0))</f>
        <v>0</v>
      </c>
      <c r="N49" s="84"/>
      <c r="O49" s="84"/>
      <c r="P49" s="88">
        <f t="shared" si="7"/>
        <v>1644.3277390434066</v>
      </c>
    </row>
    <row r="50" spans="2:16" x14ac:dyDescent="0.3">
      <c r="B50" s="92">
        <f>IF($B49=Cáratula!$G$35,$B$21,IF(OR($B49="",$B49=$B$21),"",$B49+1))</f>
        <v>28</v>
      </c>
      <c r="C50" s="77">
        <f>IF(OR($B51=""),$B51,IF(DAY(EOMONTH($C49,1))&lt;Cáratula!$D$69,EOMONTH($C49,1),DATE(YEAR(EOMONTH($C49,1)),MONTH(EOMONTH($C49,1)),Cáratula!$D$69)))</f>
        <v>47041</v>
      </c>
      <c r="D50" s="76">
        <f>IF(OR($B51=""),"",$C50-Cáratula!$G$38)</f>
        <v>823</v>
      </c>
      <c r="E50" s="76">
        <f t="shared" si="1"/>
        <v>30</v>
      </c>
      <c r="F50" s="79">
        <f t="shared" si="8"/>
        <v>60721.490775166283</v>
      </c>
      <c r="G50" s="79">
        <f t="shared" si="3"/>
        <v>59672.211221168502</v>
      </c>
      <c r="H50" s="80">
        <f>IF(OR($B51=""),$B51,(Cáratula!$K$39/365*E50))</f>
        <v>8.7270204282954289E-3</v>
      </c>
      <c r="I50" s="79">
        <f t="shared" si="4"/>
        <v>520.76060632869724</v>
      </c>
      <c r="J50" s="82">
        <f>IF(OR($B51=""),"",IF(C48="",Cáratula!$P$40*E50*G49,Cáratula!$P$40*E50*G50))</f>
        <v>45.141619075038477</v>
      </c>
      <c r="K50" s="82">
        <f t="shared" si="5"/>
        <v>1078.4255136396707</v>
      </c>
      <c r="L50" s="82">
        <f t="shared" si="6"/>
        <v>1644.3277390434066</v>
      </c>
      <c r="M50" s="82">
        <f>IF(OR($B51=""),"",IF(Cáratula!$G$40="Físico",10,0))</f>
        <v>0</v>
      </c>
      <c r="N50" s="76"/>
      <c r="O50" s="76"/>
      <c r="P50" s="82">
        <f t="shared" si="7"/>
        <v>1644.3277390434066</v>
      </c>
    </row>
    <row r="51" spans="2:16" x14ac:dyDescent="0.3">
      <c r="B51" s="91">
        <f>IF($B50=Cáratula!$G$35,$B$21,IF(OR($B50="",$B50=$B$21),"",$B50+1))</f>
        <v>29</v>
      </c>
      <c r="C51" s="85">
        <f>IF(OR($B52=""),$B52,IF(DAY(EOMONTH($C50,1))&lt;Cáratula!$D$69,EOMONTH($C50,1),DATE(YEAR(EOMONTH($C50,1)),MONTH(EOMONTH($C50,1)),Cáratula!$D$69)))</f>
        <v>47072</v>
      </c>
      <c r="D51" s="84">
        <f>IF(OR($B52=""),"",$C51-Cáratula!$G$38)</f>
        <v>854</v>
      </c>
      <c r="E51" s="84">
        <f t="shared" si="1"/>
        <v>31</v>
      </c>
      <c r="F51" s="86">
        <f t="shared" si="8"/>
        <v>59672.211221168502</v>
      </c>
      <c r="G51" s="86">
        <f t="shared" si="3"/>
        <v>58593.785707528834</v>
      </c>
      <c r="H51" s="87">
        <f>IF(OR($B52=""),$B52,(Cáratula!$K$39/365*E51))</f>
        <v>9.0179211092386094E-3</v>
      </c>
      <c r="I51" s="86">
        <f t="shared" si="4"/>
        <v>528.39413700212776</v>
      </c>
      <c r="J51" s="88">
        <f>IF(OR($B52=""),"",IF(C49="",Cáratula!$P$40*E51*G50,Cáratula!$P$40*E51*G51))</f>
        <v>45.803324145794399</v>
      </c>
      <c r="K51" s="88">
        <f t="shared" si="5"/>
        <v>1070.1302778954844</v>
      </c>
      <c r="L51" s="88">
        <f t="shared" si="6"/>
        <v>1644.3277390434066</v>
      </c>
      <c r="M51" s="88">
        <f>IF(OR($B52=""),"",IF(Cáratula!$G$40="Físico",10,0))</f>
        <v>0</v>
      </c>
      <c r="N51" s="84"/>
      <c r="O51" s="84"/>
      <c r="P51" s="88">
        <f t="shared" si="7"/>
        <v>1644.3277390434066</v>
      </c>
    </row>
    <row r="52" spans="2:16" x14ac:dyDescent="0.3">
      <c r="B52" s="92">
        <f>IF($B51=Cáratula!$G$35,$B$21,IF(OR($B51="",$B51=$B$21),"",$B51+1))</f>
        <v>30</v>
      </c>
      <c r="C52" s="77">
        <f>IF(OR($B53=""),$B53,IF(DAY(EOMONTH($C51,1))&lt;Cáratula!$D$69,EOMONTH($C51,1),DATE(YEAR(EOMONTH($C51,1)),MONTH(EOMONTH($C51,1)),Cáratula!$D$69)))</f>
        <v>47102</v>
      </c>
      <c r="D52" s="76">
        <f>IF(OR($B53=""),"",$C52-Cáratula!$G$38)</f>
        <v>884</v>
      </c>
      <c r="E52" s="76">
        <f t="shared" si="1"/>
        <v>30</v>
      </c>
      <c r="F52" s="79">
        <f t="shared" si="8"/>
        <v>58593.785707528834</v>
      </c>
      <c r="G52" s="79">
        <f t="shared" si="3"/>
        <v>57523.655429633349</v>
      </c>
      <c r="H52" s="80">
        <f>IF(OR($B53=""),$B53,(Cáratula!$K$39/365*E52))</f>
        <v>8.7270204282954289E-3</v>
      </c>
      <c r="I52" s="79">
        <f t="shared" si="4"/>
        <v>502.01011604463753</v>
      </c>
      <c r="J52" s="82">
        <f>IF(OR($B53=""),"",IF(C50="",Cáratula!$P$40*E52*G51,Cáratula!$P$40*E52*G52))</f>
        <v>43.516251334877694</v>
      </c>
      <c r="K52" s="82">
        <f t="shared" si="5"/>
        <v>1098.8013716638914</v>
      </c>
      <c r="L52" s="82">
        <f t="shared" si="6"/>
        <v>1644.3277390434066</v>
      </c>
      <c r="M52" s="82">
        <f>IF(OR($B53=""),"",IF(Cáratula!$G$40="Físico",10,0))</f>
        <v>0</v>
      </c>
      <c r="N52" s="76"/>
      <c r="O52" s="76"/>
      <c r="P52" s="82">
        <f t="shared" si="7"/>
        <v>1644.3277390434066</v>
      </c>
    </row>
    <row r="53" spans="2:16" x14ac:dyDescent="0.3">
      <c r="B53" s="91">
        <f>IF($B52=Cáratula!$G$35,$B$21,IF(OR($B52="",$B52=$B$21),"",$B52+1))</f>
        <v>31</v>
      </c>
      <c r="C53" s="85">
        <f>IF(OR($B54=""),$B54,IF(DAY(EOMONTH($C52,1))&lt;Cáratula!$D$69,EOMONTH($C52,1),DATE(YEAR(EOMONTH($C52,1)),MONTH(EOMONTH($C52,1)),Cáratula!$D$69)))</f>
        <v>47133</v>
      </c>
      <c r="D53" s="84">
        <f>IF(OR($B54=""),"",$C53-Cáratula!$G$38)</f>
        <v>915</v>
      </c>
      <c r="E53" s="84">
        <f t="shared" si="1"/>
        <v>31</v>
      </c>
      <c r="F53" s="86">
        <f t="shared" si="8"/>
        <v>57523.655429633349</v>
      </c>
      <c r="G53" s="86">
        <f t="shared" si="3"/>
        <v>56424.85405796946</v>
      </c>
      <c r="H53" s="87">
        <f>IF(OR($B54=""),$B54,(Cáratula!$K$39/365*E53))</f>
        <v>9.0179211092386094E-3</v>
      </c>
      <c r="I53" s="86">
        <f t="shared" si="4"/>
        <v>508.83488249507059</v>
      </c>
      <c r="J53" s="88">
        <f>IF(OR($B54=""),"",IF(C51="",Cáratula!$P$40*E53*G52,Cáratula!$P$40*E53*G53))</f>
        <v>44.107849477359117</v>
      </c>
      <c r="K53" s="88">
        <f t="shared" si="5"/>
        <v>1091.3850070709768</v>
      </c>
      <c r="L53" s="88">
        <f t="shared" si="6"/>
        <v>1644.3277390434066</v>
      </c>
      <c r="M53" s="88">
        <f>IF(OR($B54=""),"",IF(Cáratula!$G$40="Físico",10,0))</f>
        <v>0</v>
      </c>
      <c r="N53" s="84"/>
      <c r="O53" s="84"/>
      <c r="P53" s="88">
        <f t="shared" si="7"/>
        <v>1644.3277390434066</v>
      </c>
    </row>
    <row r="54" spans="2:16" x14ac:dyDescent="0.3">
      <c r="B54" s="92">
        <f>IF($B53=Cáratula!$G$35,$B$21,IF(OR($B53="",$B53=$B$21),"",$B53+1))</f>
        <v>32</v>
      </c>
      <c r="C54" s="77">
        <f>IF(OR($B55=""),$B55,IF(DAY(EOMONTH($C53,1))&lt;Cáratula!$D$69,EOMONTH($C53,1),DATE(YEAR(EOMONTH($C53,1)),MONTH(EOMONTH($C53,1)),Cáratula!$D$69)))</f>
        <v>47164</v>
      </c>
      <c r="D54" s="76">
        <f>IF(OR($B55=""),"",$C54-Cáratula!$G$38)</f>
        <v>946</v>
      </c>
      <c r="E54" s="76">
        <f t="shared" si="1"/>
        <v>31</v>
      </c>
      <c r="F54" s="79">
        <f t="shared" si="8"/>
        <v>56424.85405796946</v>
      </c>
      <c r="G54" s="79">
        <f t="shared" si="3"/>
        <v>55333.469050898486</v>
      </c>
      <c r="H54" s="80">
        <f>IF(OR($B55=""),$B55,(Cáratula!$K$39/365*E54))</f>
        <v>9.0179211092386094E-3</v>
      </c>
      <c r="I54" s="79">
        <f t="shared" si="4"/>
        <v>498.99285860149871</v>
      </c>
      <c r="J54" s="82">
        <f>IF(OR($B55=""),"",IF(C52="",Cáratula!$P$40*E54*G53,Cáratula!$P$40*E54*G54))</f>
        <v>43.254703351996049</v>
      </c>
      <c r="K54" s="82">
        <f t="shared" si="5"/>
        <v>1102.0801770899118</v>
      </c>
      <c r="L54" s="82">
        <f t="shared" si="6"/>
        <v>1644.3277390434066</v>
      </c>
      <c r="M54" s="82">
        <f>IF(OR($B55=""),"",IF(Cáratula!$G$40="Físico",10,0))</f>
        <v>0</v>
      </c>
      <c r="N54" s="76"/>
      <c r="O54" s="76"/>
      <c r="P54" s="82">
        <f t="shared" si="7"/>
        <v>1644.3277390434066</v>
      </c>
    </row>
    <row r="55" spans="2:16" x14ac:dyDescent="0.3">
      <c r="B55" s="91">
        <f>IF($B54=Cáratula!$G$35,$B$21,IF(OR($B54="",$B54=$B$21),"",$B54+1))</f>
        <v>33</v>
      </c>
      <c r="C55" s="85">
        <f>IF(OR($B56=""),$B56,IF(DAY(EOMONTH($C54,1))&lt;Cáratula!$D$69,EOMONTH($C54,1),DATE(YEAR(EOMONTH($C54,1)),MONTH(EOMONTH($C54,1)),Cáratula!$D$69)))</f>
        <v>47192</v>
      </c>
      <c r="D55" s="84">
        <f>IF(OR($B56=""),"",$C55-Cáratula!$G$38)</f>
        <v>974</v>
      </c>
      <c r="E55" s="84">
        <f t="shared" ref="E55:E88" si="9">IF(OR($B56=""),"",C55-C54)</f>
        <v>28</v>
      </c>
      <c r="F55" s="86">
        <f t="shared" si="8"/>
        <v>55333.469050898486</v>
      </c>
      <c r="G55" s="86">
        <f t="shared" si="3"/>
        <v>54231.388873808573</v>
      </c>
      <c r="H55" s="87">
        <f>IF(OR($B56=""),$B56,(Cáratula!$K$39/365*E55))</f>
        <v>8.1452190664090662E-3</v>
      </c>
      <c r="I55" s="86">
        <f t="shared" si="4"/>
        <v>441.7265426527901</v>
      </c>
      <c r="J55" s="88">
        <f>IF(OR($B56=""),"",IF(C53="",Cáratula!$P$40*E55*G54,Cáratula!$P$40*E55*G55))</f>
        <v>38.29062928615604</v>
      </c>
      <c r="K55" s="88">
        <f t="shared" si="5"/>
        <v>1164.3105671044605</v>
      </c>
      <c r="L55" s="88">
        <f t="shared" si="6"/>
        <v>1644.3277390434066</v>
      </c>
      <c r="M55" s="88">
        <f>IF(OR($B56=""),"",IF(Cáratula!$G$40="Físico",10,0))</f>
        <v>0</v>
      </c>
      <c r="N55" s="84"/>
      <c r="O55" s="84"/>
      <c r="P55" s="88">
        <f t="shared" si="7"/>
        <v>1644.3277390434066</v>
      </c>
    </row>
    <row r="56" spans="2:16" x14ac:dyDescent="0.3">
      <c r="B56" s="92">
        <f>IF($B55=Cáratula!$G$35,$B$21,IF(OR($B55="",$B55=$B$21),"",$B55+1))</f>
        <v>34</v>
      </c>
      <c r="C56" s="77">
        <f>IF(OR($B57=""),$B57,IF(DAY(EOMONTH($C55,1))&lt;Cáratula!$D$69,EOMONTH($C55,1),DATE(YEAR(EOMONTH($C55,1)),MONTH(EOMONTH($C55,1)),Cáratula!$D$69)))</f>
        <v>47223</v>
      </c>
      <c r="D56" s="76">
        <f>IF(OR($B57=""),"",$C56-Cáratula!$G$38)</f>
        <v>1005</v>
      </c>
      <c r="E56" s="76">
        <f t="shared" si="9"/>
        <v>31</v>
      </c>
      <c r="F56" s="79">
        <f t="shared" si="8"/>
        <v>54231.388873808573</v>
      </c>
      <c r="G56" s="79">
        <f t="shared" si="3"/>
        <v>53067.078306704112</v>
      </c>
      <c r="H56" s="80">
        <f>IF(OR($B57=""),$B57,(Cáratula!$K$39/365*E56))</f>
        <v>9.0179211092386094E-3</v>
      </c>
      <c r="I56" s="79">
        <f t="shared" si="4"/>
        <v>478.5547256676453</v>
      </c>
      <c r="J56" s="82">
        <f>IF(OR($B57=""),"",IF(C54="",Cáratula!$P$40*E56*G55,Cáratula!$P$40*E56*G56))</f>
        <v>41.483043974745321</v>
      </c>
      <c r="K56" s="82">
        <f t="shared" si="5"/>
        <v>1124.2899694010162</v>
      </c>
      <c r="L56" s="82">
        <f t="shared" si="6"/>
        <v>1644.3277390434066</v>
      </c>
      <c r="M56" s="82">
        <f>IF(OR($B57=""),"",IF(Cáratula!$G$40="Físico",10,0))</f>
        <v>0</v>
      </c>
      <c r="N56" s="76"/>
      <c r="O56" s="76"/>
      <c r="P56" s="82">
        <f t="shared" si="7"/>
        <v>1644.3277390434066</v>
      </c>
    </row>
    <row r="57" spans="2:16" x14ac:dyDescent="0.3">
      <c r="B57" s="91">
        <f>IF($B56=Cáratula!$G$35,$B$21,IF(OR($B56="",$B56=$B$21),"",$B56+1))</f>
        <v>35</v>
      </c>
      <c r="C57" s="85">
        <f>IF(OR($B58=""),$B58,IF(DAY(EOMONTH($C56,1))&lt;Cáratula!$D$69,EOMONTH($C56,1),DATE(YEAR(EOMONTH($C56,1)),MONTH(EOMONTH($C56,1)),Cáratula!$D$69)))</f>
        <v>47253</v>
      </c>
      <c r="D57" s="84">
        <f>IF(OR($B58=""),"",$C57-Cáratula!$G$38)</f>
        <v>1035</v>
      </c>
      <c r="E57" s="84">
        <f t="shared" si="9"/>
        <v>30</v>
      </c>
      <c r="F57" s="86">
        <f t="shared" si="8"/>
        <v>53067.078306704112</v>
      </c>
      <c r="G57" s="86">
        <f t="shared" si="3"/>
        <v>51942.788337303093</v>
      </c>
      <c r="H57" s="87">
        <f>IF(OR($B58=""),$B58,(Cáratula!$K$39/365*E57))</f>
        <v>8.7270204282954289E-3</v>
      </c>
      <c r="I57" s="86">
        <f t="shared" si="4"/>
        <v>453.30577492226962</v>
      </c>
      <c r="J57" s="88">
        <f>IF(OR($B58=""),"",IF(C55="",Cáratula!$P$40*E57*G56,Cáratula!$P$40*E57*G57))</f>
        <v>39.294363604646925</v>
      </c>
      <c r="K57" s="88">
        <f t="shared" si="5"/>
        <v>1151.7276005164902</v>
      </c>
      <c r="L57" s="88">
        <f t="shared" si="6"/>
        <v>1644.3277390434066</v>
      </c>
      <c r="M57" s="88">
        <f>IF(OR($B58=""),"",IF(Cáratula!$G$40="Físico",10,0))</f>
        <v>0</v>
      </c>
      <c r="N57" s="84"/>
      <c r="O57" s="84"/>
      <c r="P57" s="88">
        <f t="shared" si="7"/>
        <v>1644.3277390434066</v>
      </c>
    </row>
    <row r="58" spans="2:16" x14ac:dyDescent="0.3">
      <c r="B58" s="92">
        <f>IF($B57=Cáratula!$G$35,$B$21,IF(OR($B57="",$B57=$B$21),"",$B57+1))</f>
        <v>36</v>
      </c>
      <c r="C58" s="77">
        <f>IF(OR($B59=""),$B59,IF(DAY(EOMONTH($C57,1))&lt;Cáratula!$D$69,EOMONTH($C57,1),DATE(YEAR(EOMONTH($C57,1)),MONTH(EOMONTH($C57,1)),Cáratula!$D$69)))</f>
        <v>47284</v>
      </c>
      <c r="D58" s="76">
        <f>IF(OR($B59=""),"",$C58-Cáratula!$G$38)</f>
        <v>1066</v>
      </c>
      <c r="E58" s="76">
        <f t="shared" si="9"/>
        <v>31</v>
      </c>
      <c r="F58" s="79">
        <f t="shared" si="8"/>
        <v>51942.788337303093</v>
      </c>
      <c r="G58" s="79">
        <f t="shared" si="3"/>
        <v>50791.060736786603</v>
      </c>
      <c r="H58" s="80">
        <f>IF(OR($B59=""),$B59,(Cáratula!$K$39/365*E58))</f>
        <v>9.0179211092386094E-3</v>
      </c>
      <c r="I58" s="79">
        <f t="shared" si="4"/>
        <v>458.02977877888821</v>
      </c>
      <c r="J58" s="82">
        <f>IF(OR($B59=""),"",IF(C56="",Cáratula!$P$40*E58*G57,Cáratula!$P$40*E58*G58))</f>
        <v>39.703859215514797</v>
      </c>
      <c r="K58" s="82">
        <f t="shared" si="5"/>
        <v>1146.5941010490037</v>
      </c>
      <c r="L58" s="82">
        <f t="shared" si="6"/>
        <v>1644.3277390434066</v>
      </c>
      <c r="M58" s="82">
        <f>IF(OR($B59=""),"",IF(Cáratula!$G$40="Físico",10,0))</f>
        <v>0</v>
      </c>
      <c r="N58" s="76"/>
      <c r="O58" s="76"/>
      <c r="P58" s="82">
        <f t="shared" si="7"/>
        <v>1644.3277390434066</v>
      </c>
    </row>
    <row r="59" spans="2:16" x14ac:dyDescent="0.3">
      <c r="B59" s="91">
        <f>IF($B58=Cáratula!$G$35,$B$21,IF(OR($B58="",$B58=$B$21),"",$B58+1))</f>
        <v>37</v>
      </c>
      <c r="C59" s="85">
        <f>IF(OR($B60=""),$B60,IF(DAY(EOMONTH($C58,1))&lt;Cáratula!$D$69,EOMONTH($C58,1),DATE(YEAR(EOMONTH($C58,1)),MONTH(EOMONTH($C58,1)),Cáratula!$D$69)))</f>
        <v>47314</v>
      </c>
      <c r="D59" s="84">
        <f>IF(OR($B60=""),"",$C59-Cáratula!$G$38)</f>
        <v>1096</v>
      </c>
      <c r="E59" s="84">
        <f t="shared" si="9"/>
        <v>30</v>
      </c>
      <c r="F59" s="86">
        <f t="shared" si="8"/>
        <v>50791.060736786603</v>
      </c>
      <c r="G59" s="86">
        <f t="shared" si="3"/>
        <v>49644.466635737597</v>
      </c>
      <c r="H59" s="87">
        <f>IF(OR($B60=""),$B60,(Cáratula!$K$39/365*E59))</f>
        <v>8.7270204282954289E-3</v>
      </c>
      <c r="I59" s="86">
        <f t="shared" si="4"/>
        <v>433.24827448191286</v>
      </c>
      <c r="J59" s="88">
        <f>IF(OR($B60=""),"",IF(C57="",Cáratula!$P$40*E59*G58,Cáratula!$P$40*E59*G59))</f>
        <v>37.555698979342097</v>
      </c>
      <c r="K59" s="88">
        <f t="shared" si="5"/>
        <v>1173.5237655821516</v>
      </c>
      <c r="L59" s="88">
        <f t="shared" si="6"/>
        <v>1644.3277390434066</v>
      </c>
      <c r="M59" s="88">
        <f>IF(OR($B60=""),"",IF(Cáratula!$G$40="Físico",10,0))</f>
        <v>0</v>
      </c>
      <c r="N59" s="84"/>
      <c r="O59" s="84"/>
      <c r="P59" s="88">
        <f t="shared" si="7"/>
        <v>1644.3277390434066</v>
      </c>
    </row>
    <row r="60" spans="2:16" x14ac:dyDescent="0.3">
      <c r="B60" s="92">
        <f>IF($B59=Cáratula!$G$35,$B$21,IF(OR($B59="",$B59=$B$21),"",$B59+1))</f>
        <v>38</v>
      </c>
      <c r="C60" s="77">
        <f>IF(OR($B61=""),$B61,IF(DAY(EOMONTH($C59,1))&lt;Cáratula!$D$69,EOMONTH($C59,1),DATE(YEAR(EOMONTH($C59,1)),MONTH(EOMONTH($C59,1)),Cáratula!$D$69)))</f>
        <v>47345</v>
      </c>
      <c r="D60" s="76">
        <f>IF(OR($B61=""),"",$C60-Cáratula!$G$38)</f>
        <v>1127</v>
      </c>
      <c r="E60" s="76">
        <f t="shared" si="9"/>
        <v>31</v>
      </c>
      <c r="F60" s="79">
        <f t="shared" si="8"/>
        <v>49644.466635737597</v>
      </c>
      <c r="G60" s="79">
        <f t="shared" si="3"/>
        <v>48470.942870155443</v>
      </c>
      <c r="H60" s="80">
        <f>IF(OR($B61=""),$B61,(Cáratula!$K$39/365*E60))</f>
        <v>9.0179211092386094E-3</v>
      </c>
      <c r="I60" s="79">
        <f t="shared" si="4"/>
        <v>437.10713889347346</v>
      </c>
      <c r="J60" s="82">
        <f>IF(OR($B61=""),"",IF(C58="",Cáratula!$P$40*E60*G59,Cáratula!$P$40*E60*G60))</f>
        <v>37.890200831463645</v>
      </c>
      <c r="K60" s="82">
        <f t="shared" si="5"/>
        <v>1169.3303993184693</v>
      </c>
      <c r="L60" s="82">
        <f t="shared" si="6"/>
        <v>1644.3277390434066</v>
      </c>
      <c r="M60" s="82">
        <f>IF(OR($B61=""),"",IF(Cáratula!$G$40="Físico",10,0))</f>
        <v>0</v>
      </c>
      <c r="N60" s="76"/>
      <c r="O60" s="76"/>
      <c r="P60" s="82">
        <f t="shared" si="7"/>
        <v>1644.3277390434066</v>
      </c>
    </row>
    <row r="61" spans="2:16" x14ac:dyDescent="0.3">
      <c r="B61" s="91">
        <f>IF($B60=Cáratula!$G$35,$B$21,IF(OR($B60="",$B60=$B$21),"",$B60+1))</f>
        <v>39</v>
      </c>
      <c r="C61" s="85">
        <f>IF(OR($B62=""),$B62,IF(DAY(EOMONTH($C60,1))&lt;Cáratula!$D$69,EOMONTH($C60,1),DATE(YEAR(EOMONTH($C60,1)),MONTH(EOMONTH($C60,1)),Cáratula!$D$69)))</f>
        <v>47376</v>
      </c>
      <c r="D61" s="84">
        <f>IF(OR($B62=""),"",$C61-Cáratula!$G$38)</f>
        <v>1158</v>
      </c>
      <c r="E61" s="84">
        <f t="shared" si="9"/>
        <v>31</v>
      </c>
      <c r="F61" s="86">
        <f t="shared" si="8"/>
        <v>48470.942870155443</v>
      </c>
      <c r="G61" s="86">
        <f t="shared" si="3"/>
        <v>47301.612470836975</v>
      </c>
      <c r="H61" s="87">
        <f>IF(OR($B62=""),$B62,(Cáratula!$K$39/365*E61))</f>
        <v>9.0179211092386094E-3</v>
      </c>
      <c r="I61" s="86">
        <f t="shared" si="4"/>
        <v>426.56220960178501</v>
      </c>
      <c r="J61" s="88">
        <f>IF(OR($B62=""),"",IF(C59="",Cáratula!$P$40*E61*G60,Cáratula!$P$40*E61*G61))</f>
        <v>36.976124045559146</v>
      </c>
      <c r="K61" s="88">
        <f t="shared" si="5"/>
        <v>1180.7894053960624</v>
      </c>
      <c r="L61" s="88">
        <f t="shared" si="6"/>
        <v>1644.3277390434066</v>
      </c>
      <c r="M61" s="88">
        <f>IF(OR($B62=""),"",IF(Cáratula!$G$40="Físico",10,0))</f>
        <v>0</v>
      </c>
      <c r="N61" s="84"/>
      <c r="O61" s="84"/>
      <c r="P61" s="88">
        <f t="shared" si="7"/>
        <v>1644.3277390434066</v>
      </c>
    </row>
    <row r="62" spans="2:16" x14ac:dyDescent="0.3">
      <c r="B62" s="92">
        <f>IF($B61=Cáratula!$G$35,$B$21,IF(OR($B61="",$B61=$B$21),"",$B61+1))</f>
        <v>40</v>
      </c>
      <c r="C62" s="77">
        <f>IF(OR($B63=""),$B63,IF(DAY(EOMONTH($C61,1))&lt;Cáratula!$D$69,EOMONTH($C61,1),DATE(YEAR(EOMONTH($C61,1)),MONTH(EOMONTH($C61,1)),Cáratula!$D$69)))</f>
        <v>47406</v>
      </c>
      <c r="D62" s="76">
        <f>IF(OR($B63=""),"",$C62-Cáratula!$G$38)</f>
        <v>1188</v>
      </c>
      <c r="E62" s="76">
        <f t="shared" si="9"/>
        <v>30</v>
      </c>
      <c r="F62" s="79">
        <f t="shared" si="8"/>
        <v>47301.612470836975</v>
      </c>
      <c r="G62" s="79">
        <f t="shared" si="3"/>
        <v>46120.823065440913</v>
      </c>
      <c r="H62" s="80">
        <f>IF(OR($B63=""),$B63,(Cáratula!$K$39/365*E62))</f>
        <v>8.7270204282954289E-3</v>
      </c>
      <c r="I62" s="79">
        <f t="shared" si="4"/>
        <v>402.49736506190186</v>
      </c>
      <c r="J62" s="82">
        <f>IF(OR($B63=""),"",IF(C60="",Cáratula!$P$40*E62*G61,Cáratula!$P$40*E62*G62))</f>
        <v>34.890086752957657</v>
      </c>
      <c r="K62" s="82">
        <f t="shared" si="5"/>
        <v>1206.940287228547</v>
      </c>
      <c r="L62" s="82">
        <f t="shared" si="6"/>
        <v>1644.3277390434066</v>
      </c>
      <c r="M62" s="82">
        <f>IF(OR($B63=""),"",IF(Cáratula!$G$40="Físico",10,0))</f>
        <v>0</v>
      </c>
      <c r="N62" s="76"/>
      <c r="O62" s="76"/>
      <c r="P62" s="82">
        <f t="shared" si="7"/>
        <v>1644.3277390434066</v>
      </c>
    </row>
    <row r="63" spans="2:16" x14ac:dyDescent="0.3">
      <c r="B63" s="91">
        <f>IF($B62=Cáratula!$G$35,$B$21,IF(OR($B62="",$B62=$B$21),"",$B62+1))</f>
        <v>41</v>
      </c>
      <c r="C63" s="85">
        <f>IF(OR($B64=""),$B64,IF(DAY(EOMONTH($C62,1))&lt;Cáratula!$D$69,EOMONTH($C62,1),DATE(YEAR(EOMONTH($C62,1)),MONTH(EOMONTH($C62,1)),Cáratula!$D$69)))</f>
        <v>47437</v>
      </c>
      <c r="D63" s="84">
        <f>IF(OR($B64=""),"",$C63-Cáratula!$G$38)</f>
        <v>1219</v>
      </c>
      <c r="E63" s="84">
        <f t="shared" si="9"/>
        <v>31</v>
      </c>
      <c r="F63" s="86">
        <f t="shared" si="8"/>
        <v>46120.823065440913</v>
      </c>
      <c r="G63" s="86">
        <f t="shared" si="3"/>
        <v>44913.882778212363</v>
      </c>
      <c r="H63" s="87">
        <f>IF(OR($B64=""),$B64,(Cáratula!$K$39/365*E63))</f>
        <v>9.0179211092386094E-3</v>
      </c>
      <c r="I63" s="86">
        <f t="shared" si="4"/>
        <v>405.02985160350971</v>
      </c>
      <c r="J63" s="88">
        <f>IF(OR($B64=""),"",IF(C61="",Cáratula!$P$40*E63*G62,Cáratula!$P$40*E63*G63))</f>
        <v>35.109612848796338</v>
      </c>
      <c r="K63" s="88">
        <f t="shared" si="5"/>
        <v>1204.1882745911005</v>
      </c>
      <c r="L63" s="88">
        <f t="shared" si="6"/>
        <v>1644.3277390434066</v>
      </c>
      <c r="M63" s="88">
        <f>IF(OR($B64=""),"",IF(Cáratula!$G$40="Físico",10,0))</f>
        <v>0</v>
      </c>
      <c r="N63" s="84"/>
      <c r="O63" s="84"/>
      <c r="P63" s="88">
        <f t="shared" si="7"/>
        <v>1644.3277390434066</v>
      </c>
    </row>
    <row r="64" spans="2:16" x14ac:dyDescent="0.3">
      <c r="B64" s="92">
        <f>IF($B63=Cáratula!$G$35,$B$21,IF(OR($B63="",$B63=$B$21),"",$B63+1))</f>
        <v>42</v>
      </c>
      <c r="C64" s="77">
        <f>IF(OR($B65=""),$B65,IF(DAY(EOMONTH($C63,1))&lt;Cáratula!$D$69,EOMONTH($C63,1),DATE(YEAR(EOMONTH($C63,1)),MONTH(EOMONTH($C63,1)),Cáratula!$D$69)))</f>
        <v>47467</v>
      </c>
      <c r="D64" s="76">
        <f>IF(OR($B65=""),"",$C64-Cáratula!$G$38)</f>
        <v>1249</v>
      </c>
      <c r="E64" s="76">
        <f t="shared" si="9"/>
        <v>30</v>
      </c>
      <c r="F64" s="79">
        <f t="shared" si="8"/>
        <v>44913.882778212363</v>
      </c>
      <c r="G64" s="79">
        <f t="shared" si="3"/>
        <v>43709.694503621264</v>
      </c>
      <c r="H64" s="80">
        <f>IF(OR($B65=""),$B65,(Cáratula!$K$39/365*E64))</f>
        <v>8.7270204282954289E-3</v>
      </c>
      <c r="I64" s="79">
        <f t="shared" si="4"/>
        <v>381.45539684765521</v>
      </c>
      <c r="J64" s="82">
        <f>IF(OR($B65=""),"",IF(C62="",Cáratula!$P$40*E64*G63,Cáratula!$P$40*E64*G64))</f>
        <v>33.066084510520284</v>
      </c>
      <c r="K64" s="82">
        <f t="shared" si="5"/>
        <v>1229.806257685231</v>
      </c>
      <c r="L64" s="82">
        <f t="shared" si="6"/>
        <v>1644.3277390434066</v>
      </c>
      <c r="M64" s="82">
        <f>IF(OR($B65=""),"",IF(Cáratula!$G$40="Físico",10,0))</f>
        <v>0</v>
      </c>
      <c r="N64" s="76"/>
      <c r="O64" s="76"/>
      <c r="P64" s="82">
        <f t="shared" si="7"/>
        <v>1644.3277390434066</v>
      </c>
    </row>
    <row r="65" spans="2:16" x14ac:dyDescent="0.3">
      <c r="B65" s="91">
        <f>IF($B64=Cáratula!$G$35,$B$21,IF(OR($B64="",$B64=$B$21),"",$B64+1))</f>
        <v>43</v>
      </c>
      <c r="C65" s="85">
        <f>IF(OR($B66=""),$B66,IF(DAY(EOMONTH($C64,1))&lt;Cáratula!$D$69,EOMONTH($C64,1),DATE(YEAR(EOMONTH($C64,1)),MONTH(EOMONTH($C64,1)),Cáratula!$D$69)))</f>
        <v>47498</v>
      </c>
      <c r="D65" s="84">
        <f>IF(OR($B66=""),"",$C65-Cáratula!$G$38)</f>
        <v>1280</v>
      </c>
      <c r="E65" s="84">
        <f t="shared" si="9"/>
        <v>31</v>
      </c>
      <c r="F65" s="86">
        <f t="shared" si="8"/>
        <v>43709.694503621264</v>
      </c>
      <c r="G65" s="86">
        <f t="shared" si="3"/>
        <v>42479.888245936032</v>
      </c>
      <c r="H65" s="87">
        <f>IF(OR($B66=""),$B66,(Cáratula!$K$39/365*E65))</f>
        <v>9.0179211092386094E-3</v>
      </c>
      <c r="I65" s="86">
        <f t="shared" si="4"/>
        <v>383.08028093112364</v>
      </c>
      <c r="J65" s="88">
        <f>IF(OR($B66=""),"",IF(C63="",Cáratula!$P$40*E65*G64,Cáratula!$P$40*E65*G65))</f>
        <v>33.206935983242332</v>
      </c>
      <c r="K65" s="88">
        <f t="shared" si="5"/>
        <v>1228.0405221290405</v>
      </c>
      <c r="L65" s="88">
        <f t="shared" si="6"/>
        <v>1644.3277390434066</v>
      </c>
      <c r="M65" s="88">
        <f>IF(OR($B66=""),"",IF(Cáratula!$G$40="Físico",10,0))</f>
        <v>0</v>
      </c>
      <c r="N65" s="84"/>
      <c r="O65" s="84"/>
      <c r="P65" s="88">
        <f t="shared" si="7"/>
        <v>1644.3277390434066</v>
      </c>
    </row>
    <row r="66" spans="2:16" x14ac:dyDescent="0.3">
      <c r="B66" s="92">
        <f>IF($B65=Cáratula!$G$35,$B$21,IF(OR($B65="",$B65=$B$21),"",$B65+1))</f>
        <v>44</v>
      </c>
      <c r="C66" s="77">
        <f>IF(OR($B67=""),$B67,IF(DAY(EOMONTH($C65,1))&lt;Cáratula!$D$69,EOMONTH($C65,1),DATE(YEAR(EOMONTH($C65,1)),MONTH(EOMONTH($C65,1)),Cáratula!$D$69)))</f>
        <v>47529</v>
      </c>
      <c r="D66" s="76">
        <f>IF(OR($B67=""),"",$C66-Cáratula!$G$38)</f>
        <v>1311</v>
      </c>
      <c r="E66" s="76">
        <f t="shared" si="9"/>
        <v>31</v>
      </c>
      <c r="F66" s="79">
        <f t="shared" si="8"/>
        <v>42479.888245936032</v>
      </c>
      <c r="G66" s="79">
        <f t="shared" si="3"/>
        <v>41251.84772380699</v>
      </c>
      <c r="H66" s="80">
        <f>IF(OR($B67=""),$B67,(Cáratula!$K$39/365*E66))</f>
        <v>9.0179211092386094E-3</v>
      </c>
      <c r="I66" s="79">
        <f t="shared" si="4"/>
        <v>372.00590838361575</v>
      </c>
      <c r="J66" s="82">
        <f>IF(OR($B67=""),"",IF(C64="",Cáratula!$P$40*E66*G65,Cáratula!$P$40*E66*G66))</f>
        <v>32.246964931363024</v>
      </c>
      <c r="K66" s="82">
        <f t="shared" si="5"/>
        <v>1240.074865728428</v>
      </c>
      <c r="L66" s="82">
        <f t="shared" si="6"/>
        <v>1644.3277390434066</v>
      </c>
      <c r="M66" s="82">
        <f>IF(OR($B67=""),"",IF(Cáratula!$G$40="Físico",10,0))</f>
        <v>0</v>
      </c>
      <c r="N66" s="76"/>
      <c r="O66" s="76"/>
      <c r="P66" s="82">
        <f t="shared" si="7"/>
        <v>1644.3277390434066</v>
      </c>
    </row>
    <row r="67" spans="2:16" x14ac:dyDescent="0.3">
      <c r="B67" s="91">
        <f>IF($B66=Cáratula!$G$35,$B$21,IF(OR($B66="",$B66=$B$21),"",$B66+1))</f>
        <v>45</v>
      </c>
      <c r="C67" s="85">
        <f>IF(OR($B68=""),$B68,IF(DAY(EOMONTH($C66,1))&lt;Cáratula!$D$69,EOMONTH($C66,1),DATE(YEAR(EOMONTH($C66,1)),MONTH(EOMONTH($C66,1)),Cáratula!$D$69)))</f>
        <v>47557</v>
      </c>
      <c r="D67" s="84">
        <f>IF(OR($B68=""),"",$C67-Cáratula!$G$38)</f>
        <v>1339</v>
      </c>
      <c r="E67" s="84">
        <f t="shared" si="9"/>
        <v>28</v>
      </c>
      <c r="F67" s="86">
        <f t="shared" si="8"/>
        <v>41251.84772380699</v>
      </c>
      <c r="G67" s="86">
        <f t="shared" si="3"/>
        <v>40011.772858078562</v>
      </c>
      <c r="H67" s="87">
        <f>IF(OR($B68=""),$B68,(Cáratula!$K$39/365*E67))</f>
        <v>8.1452190664090662E-3</v>
      </c>
      <c r="I67" s="86">
        <f t="shared" si="4"/>
        <v>325.90465516445028</v>
      </c>
      <c r="J67" s="88">
        <f>IF(OR($B68=""),"",IF(C65="",Cáratula!$P$40*E67*G66,Cáratula!$P$40*E67*G67))</f>
        <v>28.250723306304501</v>
      </c>
      <c r="K67" s="88">
        <f t="shared" si="5"/>
        <v>1290.1723605726518</v>
      </c>
      <c r="L67" s="88">
        <f t="shared" si="6"/>
        <v>1644.3277390434066</v>
      </c>
      <c r="M67" s="88">
        <f>IF(OR($B68=""),"",IF(Cáratula!$G$40="Físico",10,0))</f>
        <v>0</v>
      </c>
      <c r="N67" s="84"/>
      <c r="O67" s="84"/>
      <c r="P67" s="88">
        <f t="shared" si="7"/>
        <v>1644.3277390434066</v>
      </c>
    </row>
    <row r="68" spans="2:16" x14ac:dyDescent="0.3">
      <c r="B68" s="92">
        <f>IF($B67=Cáratula!$G$35,$B$21,IF(OR($B67="",$B67=$B$21),"",$B67+1))</f>
        <v>46</v>
      </c>
      <c r="C68" s="77">
        <f>IF(OR($B69=""),$B69,IF(DAY(EOMONTH($C67,1))&lt;Cáratula!$D$69,EOMONTH($C67,1),DATE(YEAR(EOMONTH($C67,1)),MONTH(EOMONTH($C67,1)),Cáratula!$D$69)))</f>
        <v>47588</v>
      </c>
      <c r="D68" s="76">
        <f>IF(OR($B69=""),"",$C68-Cáratula!$G$38)</f>
        <v>1370</v>
      </c>
      <c r="E68" s="76">
        <f t="shared" si="9"/>
        <v>31</v>
      </c>
      <c r="F68" s="79">
        <f t="shared" si="8"/>
        <v>40011.772858078562</v>
      </c>
      <c r="G68" s="79">
        <f t="shared" si="3"/>
        <v>38721.600497505911</v>
      </c>
      <c r="H68" s="80">
        <f>IF(OR($B69=""),$B69,(Cáratula!$K$39/365*E68))</f>
        <v>9.0179211092386094E-3</v>
      </c>
      <c r="I68" s="79">
        <f t="shared" si="4"/>
        <v>349.18833850996282</v>
      </c>
      <c r="J68" s="82">
        <f>IF(OR($B69=""),"",IF(C66="",Cáratula!$P$40*E68*G67,Cáratula!$P$40*E68*G68))</f>
        <v>30.26904641191884</v>
      </c>
      <c r="K68" s="82">
        <f t="shared" si="5"/>
        <v>1264.8703541215248</v>
      </c>
      <c r="L68" s="82">
        <f t="shared" si="6"/>
        <v>1644.3277390434066</v>
      </c>
      <c r="M68" s="82">
        <f>IF(OR($B69=""),"",IF(Cáratula!$G$40="Físico",10,0))</f>
        <v>0</v>
      </c>
      <c r="N68" s="76"/>
      <c r="O68" s="76"/>
      <c r="P68" s="82">
        <f t="shared" si="7"/>
        <v>1644.3277390434066</v>
      </c>
    </row>
    <row r="69" spans="2:16" x14ac:dyDescent="0.3">
      <c r="B69" s="91">
        <f>IF($B68=Cáratula!$G$35,$B$21,IF(OR($B68="",$B68=$B$21),"",$B68+1))</f>
        <v>47</v>
      </c>
      <c r="C69" s="85">
        <f>IF(OR($B70=""),$B70,IF(DAY(EOMONTH($C68,1))&lt;Cáratula!$D$69,EOMONTH($C68,1),DATE(YEAR(EOMONTH($C68,1)),MONTH(EOMONTH($C68,1)),Cáratula!$D$69)))</f>
        <v>47618</v>
      </c>
      <c r="D69" s="84">
        <f>IF(OR($B70=""),"",$C69-Cáratula!$G$38)</f>
        <v>1400</v>
      </c>
      <c r="E69" s="84">
        <f t="shared" si="9"/>
        <v>30</v>
      </c>
      <c r="F69" s="86">
        <f t="shared" si="8"/>
        <v>38721.600497505911</v>
      </c>
      <c r="G69" s="86">
        <f t="shared" si="3"/>
        <v>37456.73014338439</v>
      </c>
      <c r="H69" s="87">
        <f>IF(OR($B70=""),$B70,(Cáratula!$K$39/365*E69))</f>
        <v>8.7270204282954289E-3</v>
      </c>
      <c r="I69" s="86">
        <f t="shared" si="4"/>
        <v>326.88564913846471</v>
      </c>
      <c r="J69" s="88">
        <f>IF(OR($B70=""),"",IF(C67="",Cáratula!$P$40*E69*G68,Cáratula!$P$40*E69*G69))</f>
        <v>28.335759800524102</v>
      </c>
      <c r="K69" s="88">
        <f t="shared" si="5"/>
        <v>1289.1063301044178</v>
      </c>
      <c r="L69" s="88">
        <f t="shared" si="6"/>
        <v>1644.3277390434066</v>
      </c>
      <c r="M69" s="88">
        <f>IF(OR($B70=""),"",IF(Cáratula!$G$40="Físico",10,0))</f>
        <v>0</v>
      </c>
      <c r="N69" s="84"/>
      <c r="O69" s="84"/>
      <c r="P69" s="88">
        <f t="shared" si="7"/>
        <v>1644.3277390434066</v>
      </c>
    </row>
    <row r="70" spans="2:16" x14ac:dyDescent="0.3">
      <c r="B70" s="92">
        <f>IF($B69=Cáratula!$G$35,$B$21,IF(OR($B69="",$B69=$B$21),"",$B69+1))</f>
        <v>48</v>
      </c>
      <c r="C70" s="77">
        <f>IF(OR($B71=""),$B71,IF(DAY(EOMONTH($C69,1))&lt;Cáratula!$D$69,EOMONTH($C69,1),DATE(YEAR(EOMONTH($C69,1)),MONTH(EOMONTH($C69,1)),Cáratula!$D$69)))</f>
        <v>47649</v>
      </c>
      <c r="D70" s="76">
        <f>IF(OR($B71=""),"",$C70-Cáratula!$G$38)</f>
        <v>1431</v>
      </c>
      <c r="E70" s="76">
        <f t="shared" si="9"/>
        <v>31</v>
      </c>
      <c r="F70" s="79">
        <f t="shared" si="8"/>
        <v>37456.73014338439</v>
      </c>
      <c r="G70" s="79">
        <f t="shared" si="3"/>
        <v>36167.62381327997</v>
      </c>
      <c r="H70" s="80">
        <f>IF(OR($B71=""),$B71,(Cáratula!$K$39/365*E70))</f>
        <v>9.0179211092386094E-3</v>
      </c>
      <c r="I70" s="79">
        <f t="shared" si="4"/>
        <v>326.15677825677847</v>
      </c>
      <c r="J70" s="82">
        <f>IF(OR($B71=""),"",IF(C68="",Cáratula!$P$40*E70*G69,Cáratula!$P$40*E70*G70))</f>
        <v>28.272578347672038</v>
      </c>
      <c r="K70" s="82">
        <f t="shared" si="5"/>
        <v>1289.8983824389561</v>
      </c>
      <c r="L70" s="82">
        <f t="shared" si="6"/>
        <v>1644.3277390434066</v>
      </c>
      <c r="M70" s="82">
        <f>IF(OR($B71=""),"",IF(Cáratula!$G$40="Físico",10,0))</f>
        <v>0</v>
      </c>
      <c r="N70" s="76"/>
      <c r="O70" s="76"/>
      <c r="P70" s="82">
        <f t="shared" si="7"/>
        <v>1644.3277390434066</v>
      </c>
    </row>
    <row r="71" spans="2:16" x14ac:dyDescent="0.3">
      <c r="B71" s="91">
        <f>IF($B70=Cáratula!$G$35,$B$21,IF(OR($B70="",$B70=$B$21),"",$B70+1))</f>
        <v>49</v>
      </c>
      <c r="C71" s="85">
        <f>IF(OR($B72=""),$B72,IF(DAY(EOMONTH($C70,1))&lt;Cáratula!$D$69,EOMONTH($C70,1),DATE(YEAR(EOMONTH($C70,1)),MONTH(EOMONTH($C70,1)),Cáratula!$D$69)))</f>
        <v>47679</v>
      </c>
      <c r="D71" s="84">
        <f>IF(OR($B72=""),"",$C71-Cáratula!$G$38)</f>
        <v>1461</v>
      </c>
      <c r="E71" s="84">
        <f t="shared" si="9"/>
        <v>30</v>
      </c>
      <c r="F71" s="86">
        <f t="shared" si="8"/>
        <v>36167.62381327997</v>
      </c>
      <c r="G71" s="86">
        <f t="shared" si="3"/>
        <v>34877.725430841012</v>
      </c>
      <c r="H71" s="87">
        <f>IF(OR($B72=""),$B72,(Cáratula!$K$39/365*E71))</f>
        <v>8.7270204282954289E-3</v>
      </c>
      <c r="I71" s="86">
        <f t="shared" si="4"/>
        <v>304.3786223274285</v>
      </c>
      <c r="J71" s="88">
        <f>IF(OR($B72=""),"",IF(C69="",Cáratula!$P$40*E71*G70,Cáratula!$P$40*E71*G71))</f>
        <v>26.384760399900877</v>
      </c>
      <c r="K71" s="88">
        <f t="shared" si="5"/>
        <v>1313.5643563160772</v>
      </c>
      <c r="L71" s="88">
        <f t="shared" si="6"/>
        <v>1644.3277390434066</v>
      </c>
      <c r="M71" s="88">
        <f>IF(OR($B72=""),"",IF(Cáratula!$G$40="Físico",10,0))</f>
        <v>0</v>
      </c>
      <c r="N71" s="84"/>
      <c r="O71" s="84"/>
      <c r="P71" s="88">
        <f t="shared" si="7"/>
        <v>1644.3277390434066</v>
      </c>
    </row>
    <row r="72" spans="2:16" x14ac:dyDescent="0.3">
      <c r="B72" s="92">
        <f>IF($B71=Cáratula!$G$35,$B$21,IF(OR($B71="",$B71=$B$21),"",$B71+1))</f>
        <v>50</v>
      </c>
      <c r="C72" s="77">
        <f>IF(OR($B73=""),$B73,IF(DAY(EOMONTH($C71,1))&lt;Cáratula!$D$69,EOMONTH($C71,1),DATE(YEAR(EOMONTH($C71,1)),MONTH(EOMONTH($C71,1)),Cáratula!$D$69)))</f>
        <v>47710</v>
      </c>
      <c r="D72" s="76">
        <f>IF(OR($B73=""),"",$C72-Cáratula!$G$38)</f>
        <v>1492</v>
      </c>
      <c r="E72" s="76">
        <f t="shared" si="9"/>
        <v>31</v>
      </c>
      <c r="F72" s="79">
        <f t="shared" si="8"/>
        <v>34877.725430841012</v>
      </c>
      <c r="G72" s="79">
        <f t="shared" si="3"/>
        <v>33564.161074524935</v>
      </c>
      <c r="H72" s="80">
        <f>IF(OR($B73=""),$B73,(Cáratula!$K$39/365*E72))</f>
        <v>9.0179211092386094E-3</v>
      </c>
      <c r="I72" s="79">
        <f t="shared" si="4"/>
        <v>302.67895666784324</v>
      </c>
      <c r="J72" s="82">
        <f>IF(OR($B73=""),"",IF(C70="",Cáratula!$P$40*E72*G71,Cáratula!$P$40*E72*G72))</f>
        <v>26.237426560076031</v>
      </c>
      <c r="K72" s="82">
        <f t="shared" si="5"/>
        <v>1315.4113558154872</v>
      </c>
      <c r="L72" s="82">
        <f t="shared" si="6"/>
        <v>1644.3277390434066</v>
      </c>
      <c r="M72" s="82">
        <f>IF(OR($B73=""),"",IF(Cáratula!$G$40="Físico",10,0))</f>
        <v>0</v>
      </c>
      <c r="N72" s="76"/>
      <c r="O72" s="76"/>
      <c r="P72" s="82">
        <f t="shared" si="7"/>
        <v>1644.3277390434066</v>
      </c>
    </row>
    <row r="73" spans="2:16" x14ac:dyDescent="0.3">
      <c r="B73" s="91">
        <f>IF($B72=Cáratula!$G$35,$B$21,IF(OR($B72="",$B72=$B$21),"",$B72+1))</f>
        <v>51</v>
      </c>
      <c r="C73" s="85">
        <f>IF(OR($B74=""),$B74,IF(DAY(EOMONTH($C72,1))&lt;Cáratula!$D$69,EOMONTH($C72,1),DATE(YEAR(EOMONTH($C72,1)),MONTH(EOMONTH($C72,1)),Cáratula!$D$69)))</f>
        <v>47741</v>
      </c>
      <c r="D73" s="84">
        <f>IF(OR($B74=""),"",$C73-Cáratula!$G$38)</f>
        <v>1523</v>
      </c>
      <c r="E73" s="84">
        <f t="shared" si="9"/>
        <v>31</v>
      </c>
      <c r="F73" s="86">
        <f t="shared" si="8"/>
        <v>33564.161074524935</v>
      </c>
      <c r="G73" s="86">
        <f t="shared" si="3"/>
        <v>32248.749718709449</v>
      </c>
      <c r="H73" s="87">
        <f>IF(OR($B74=""),$B74,(Cáratula!$K$39/365*E73))</f>
        <v>9.0179211092386094E-3</v>
      </c>
      <c r="I73" s="86">
        <f t="shared" si="4"/>
        <v>290.81668083490263</v>
      </c>
      <c r="J73" s="88">
        <f>IF(OR($B74=""),"",IF(C71="",Cáratula!$P$40*E73*G72,Cáratula!$P$40*E73*G73))</f>
        <v>25.209156889701518</v>
      </c>
      <c r="K73" s="88">
        <f t="shared" si="5"/>
        <v>1328.3019013188025</v>
      </c>
      <c r="L73" s="88">
        <f t="shared" si="6"/>
        <v>1644.3277390434066</v>
      </c>
      <c r="M73" s="88">
        <f>IF(OR($B74=""),"",IF(Cáratula!$G$40="Físico",10,0))</f>
        <v>0</v>
      </c>
      <c r="N73" s="84"/>
      <c r="O73" s="84"/>
      <c r="P73" s="88">
        <f t="shared" si="7"/>
        <v>1644.3277390434066</v>
      </c>
    </row>
    <row r="74" spans="2:16" x14ac:dyDescent="0.3">
      <c r="B74" s="92">
        <f>IF($B73=Cáratula!$G$35,$B$21,IF(OR($B73="",$B73=$B$21),"",$B73+1))</f>
        <v>52</v>
      </c>
      <c r="C74" s="77">
        <f>IF(OR($B75=""),$B75,IF(DAY(EOMONTH($C73,1))&lt;Cáratula!$D$69,EOMONTH($C73,1),DATE(YEAR(EOMONTH($C73,1)),MONTH(EOMONTH($C73,1)),Cáratula!$D$69)))</f>
        <v>47771</v>
      </c>
      <c r="D74" s="76">
        <f>IF(OR($B75=""),"",$C74-Cáratula!$G$38)</f>
        <v>1553</v>
      </c>
      <c r="E74" s="76">
        <f t="shared" si="9"/>
        <v>30</v>
      </c>
      <c r="F74" s="79">
        <f t="shared" si="8"/>
        <v>32248.749718709449</v>
      </c>
      <c r="G74" s="79">
        <f t="shared" si="3"/>
        <v>30920.447817390646</v>
      </c>
      <c r="H74" s="80">
        <f>IF(OR($B75=""),$B75,(Cáratula!$K$39/365*E74))</f>
        <v>8.7270204282954289E-3</v>
      </c>
      <c r="I74" s="79">
        <f t="shared" si="4"/>
        <v>269.84337975441099</v>
      </c>
      <c r="J74" s="82">
        <f>IF(OR($B75=""),"",IF(C72="",Cáratula!$P$40*E74*G73,Cáratula!$P$40*E74*G74))</f>
        <v>23.391106989966861</v>
      </c>
      <c r="K74" s="82">
        <f t="shared" si="5"/>
        <v>1351.0932522990288</v>
      </c>
      <c r="L74" s="82">
        <f t="shared" si="6"/>
        <v>1644.3277390434066</v>
      </c>
      <c r="M74" s="82">
        <f>IF(OR($B75=""),"",IF(Cáratula!$G$40="Físico",10,0))</f>
        <v>0</v>
      </c>
      <c r="N74" s="76"/>
      <c r="O74" s="76"/>
      <c r="P74" s="82">
        <f t="shared" si="7"/>
        <v>1644.3277390434066</v>
      </c>
    </row>
    <row r="75" spans="2:16" x14ac:dyDescent="0.3">
      <c r="B75" s="91">
        <f>IF($B74=Cáratula!$G$35,$B$21,IF(OR($B74="",$B74=$B$21),"",$B74+1))</f>
        <v>53</v>
      </c>
      <c r="C75" s="85">
        <f>IF(OR($B76=""),$B76,IF(DAY(EOMONTH($C74,1))&lt;Cáratula!$D$69,EOMONTH($C74,1),DATE(YEAR(EOMONTH($C74,1)),MONTH(EOMONTH($C74,1)),Cáratula!$D$69)))</f>
        <v>47802</v>
      </c>
      <c r="D75" s="84">
        <f>IF(OR($B76=""),"",$C75-Cáratula!$G$38)</f>
        <v>1584</v>
      </c>
      <c r="E75" s="84">
        <f t="shared" si="9"/>
        <v>31</v>
      </c>
      <c r="F75" s="86">
        <f t="shared" si="8"/>
        <v>30920.447817390646</v>
      </c>
      <c r="G75" s="86">
        <f t="shared" si="3"/>
        <v>29569.354565091617</v>
      </c>
      <c r="H75" s="87">
        <f>IF(OR($B76=""),$B76,(Cáratula!$K$39/365*E75))</f>
        <v>9.0179211092386094E-3</v>
      </c>
      <c r="I75" s="86">
        <f t="shared" si="4"/>
        <v>266.65410671910075</v>
      </c>
      <c r="J75" s="88">
        <f>IF(OR($B76=""),"",IF(C73="",Cáratula!$P$40*E75*G74,Cáratula!$P$40*E75*G75))</f>
        <v>23.11464800528822</v>
      </c>
      <c r="K75" s="88">
        <f t="shared" si="5"/>
        <v>1354.5589843190176</v>
      </c>
      <c r="L75" s="88">
        <f t="shared" si="6"/>
        <v>1644.3277390434066</v>
      </c>
      <c r="M75" s="88">
        <f>IF(OR($B76=""),"",IF(Cáratula!$G$40="Físico",10,0))</f>
        <v>0</v>
      </c>
      <c r="N75" s="84"/>
      <c r="O75" s="84"/>
      <c r="P75" s="88">
        <f t="shared" si="7"/>
        <v>1644.3277390434066</v>
      </c>
    </row>
    <row r="76" spans="2:16" x14ac:dyDescent="0.3">
      <c r="B76" s="92">
        <f>IF($B75=Cáratula!$G$35,$B$21,IF(OR($B75="",$B75=$B$21),"",$B75+1))</f>
        <v>54</v>
      </c>
      <c r="C76" s="77">
        <f>IF(OR($B77=""),$B77,IF(DAY(EOMONTH($C75,1))&lt;Cáratula!$D$69,EOMONTH($C75,1),DATE(YEAR(EOMONTH($C75,1)),MONTH(EOMONTH($C75,1)),Cáratula!$D$69)))</f>
        <v>47832</v>
      </c>
      <c r="D76" s="76">
        <f>IF(OR($B77=""),"",$C76-Cáratula!$G$38)</f>
        <v>1614</v>
      </c>
      <c r="E76" s="76">
        <f t="shared" si="9"/>
        <v>30</v>
      </c>
      <c r="F76" s="79">
        <f t="shared" si="8"/>
        <v>29569.354565091617</v>
      </c>
      <c r="G76" s="79">
        <f t="shared" si="3"/>
        <v>28214.795580772599</v>
      </c>
      <c r="H76" s="80">
        <f>IF(OR($B77=""),$B77,(Cáratula!$K$39/365*E76))</f>
        <v>8.7270204282954289E-3</v>
      </c>
      <c r="I76" s="79">
        <f t="shared" si="4"/>
        <v>246.23109741358206</v>
      </c>
      <c r="J76" s="82">
        <f>IF(OR($B77=""),"",IF(C74="",Cáratula!$P$40*E76*G75,Cáratula!$P$40*E76*G76))</f>
        <v>21.344299604829946</v>
      </c>
      <c r="K76" s="82">
        <f t="shared" si="5"/>
        <v>1376.7523420249945</v>
      </c>
      <c r="L76" s="82">
        <f t="shared" si="6"/>
        <v>1644.3277390434066</v>
      </c>
      <c r="M76" s="82">
        <f>IF(OR($B77=""),"",IF(Cáratula!$G$40="Físico",10,0))</f>
        <v>0</v>
      </c>
      <c r="N76" s="76"/>
      <c r="O76" s="76"/>
      <c r="P76" s="82">
        <f t="shared" si="7"/>
        <v>1644.3277390434066</v>
      </c>
    </row>
    <row r="77" spans="2:16" x14ac:dyDescent="0.3">
      <c r="B77" s="91">
        <f>IF($B76=Cáratula!$G$35,$B$21,IF(OR($B76="",$B76=$B$21),"",$B76+1))</f>
        <v>55</v>
      </c>
      <c r="C77" s="85">
        <f>IF(OR($B78=""),$B78,IF(DAY(EOMONTH($C76,1))&lt;Cáratula!$D$69,EOMONTH($C76,1),DATE(YEAR(EOMONTH($C76,1)),MONTH(EOMONTH($C76,1)),Cáratula!$D$69)))</f>
        <v>47863</v>
      </c>
      <c r="D77" s="84">
        <f>IF(OR($B78=""),"",$C77-Cáratula!$G$38)</f>
        <v>1645</v>
      </c>
      <c r="E77" s="84">
        <f t="shared" si="9"/>
        <v>31</v>
      </c>
      <c r="F77" s="86">
        <f t="shared" si="8"/>
        <v>28214.795580772599</v>
      </c>
      <c r="G77" s="86">
        <f t="shared" si="3"/>
        <v>26838.043238747603</v>
      </c>
      <c r="H77" s="87">
        <f>IF(OR($B78=""),$B78,(Cáratula!$K$39/365*E77))</f>
        <v>9.0179211092386094E-3</v>
      </c>
      <c r="I77" s="86">
        <f t="shared" si="4"/>
        <v>242.02335665336054</v>
      </c>
      <c r="J77" s="88">
        <f>IF(OR($B78=""),"",IF(C75="",Cáratula!$P$40*E77*G76,Cáratula!$P$40*E77*G77))</f>
        <v>20.979555750828549</v>
      </c>
      <c r="K77" s="88">
        <f t="shared" si="5"/>
        <v>1381.3248266392177</v>
      </c>
      <c r="L77" s="88">
        <f t="shared" si="6"/>
        <v>1644.3277390434066</v>
      </c>
      <c r="M77" s="88">
        <f>IF(OR($B78=""),"",IF(Cáratula!$G$40="Físico",10,0))</f>
        <v>0</v>
      </c>
      <c r="N77" s="84"/>
      <c r="O77" s="84"/>
      <c r="P77" s="88">
        <f t="shared" si="7"/>
        <v>1644.3277390434066</v>
      </c>
    </row>
    <row r="78" spans="2:16" x14ac:dyDescent="0.3">
      <c r="B78" s="92">
        <f>IF($B77=Cáratula!$G$35,$B$21,IF(OR($B77="",$B77=$B$21),"",$B77+1))</f>
        <v>56</v>
      </c>
      <c r="C78" s="77">
        <f>IF(OR($B79=""),$B79,IF(DAY(EOMONTH($C77,1))&lt;Cáratula!$D$69,EOMONTH($C77,1),DATE(YEAR(EOMONTH($C77,1)),MONTH(EOMONTH($C77,1)),Cáratula!$D$69)))</f>
        <v>47894</v>
      </c>
      <c r="D78" s="76">
        <f>IF(OR($B79=""),"",$C78-Cáratula!$G$38)</f>
        <v>1676</v>
      </c>
      <c r="E78" s="76">
        <f t="shared" si="9"/>
        <v>31</v>
      </c>
      <c r="F78" s="79">
        <f t="shared" si="8"/>
        <v>26838.043238747603</v>
      </c>
      <c r="G78" s="79">
        <f t="shared" si="3"/>
        <v>25456.718412108385</v>
      </c>
      <c r="H78" s="80">
        <f>IF(OR($B79=""),$B79,(Cáratula!$K$39/365*E78))</f>
        <v>9.0179211092386094E-3</v>
      </c>
      <c r="I78" s="79">
        <f t="shared" si="4"/>
        <v>229.56667834049537</v>
      </c>
      <c r="J78" s="82">
        <f>IF(OR($B79=""),"",IF(C76="",Cáratula!$P$40*E78*G77,Cáratula!$P$40*E78*G78))</f>
        <v>19.899760888264144</v>
      </c>
      <c r="K78" s="82">
        <f t="shared" si="5"/>
        <v>1394.8612998146471</v>
      </c>
      <c r="L78" s="82">
        <f t="shared" si="6"/>
        <v>1644.3277390434066</v>
      </c>
      <c r="M78" s="82">
        <f>IF(OR($B79=""),"",IF(Cáratula!$G$40="Físico",10,0))</f>
        <v>0</v>
      </c>
      <c r="N78" s="76"/>
      <c r="O78" s="76"/>
      <c r="P78" s="82">
        <f t="shared" si="7"/>
        <v>1644.3277390434066</v>
      </c>
    </row>
    <row r="79" spans="2:16" x14ac:dyDescent="0.3">
      <c r="B79" s="91">
        <f>IF($B78=Cáratula!$G$35,$B$21,IF(OR($B78="",$B78=$B$21),"",$B78+1))</f>
        <v>57</v>
      </c>
      <c r="C79" s="85">
        <f>IF(OR($B80=""),$B80,IF(DAY(EOMONTH($C78,1))&lt;Cáratula!$D$69,EOMONTH($C78,1),DATE(YEAR(EOMONTH($C78,1)),MONTH(EOMONTH($C78,1)),Cáratula!$D$69)))</f>
        <v>47922</v>
      </c>
      <c r="D79" s="84">
        <f>IF(OR($B80=""),"",$C79-Cáratula!$G$38)</f>
        <v>1704</v>
      </c>
      <c r="E79" s="84">
        <f t="shared" si="9"/>
        <v>28</v>
      </c>
      <c r="F79" s="86">
        <f t="shared" si="8"/>
        <v>25456.718412108385</v>
      </c>
      <c r="G79" s="86">
        <f t="shared" si="3"/>
        <v>24061.857112293739</v>
      </c>
      <c r="H79" s="87">
        <f>IF(OR($B80=""),$B80,(Cáratula!$K$39/365*E79))</f>
        <v>8.1452190664090662E-3</v>
      </c>
      <c r="I79" s="86">
        <f t="shared" si="4"/>
        <v>195.98909732426557</v>
      </c>
      <c r="J79" s="88">
        <f>IF(OR($B80=""),"",IF(C77="",Cáratula!$P$40*E79*G78,Cáratula!$P$40*E79*G79))</f>
        <v>16.989121424995737</v>
      </c>
      <c r="K79" s="88">
        <f t="shared" si="5"/>
        <v>1431.3495202941451</v>
      </c>
      <c r="L79" s="88">
        <f t="shared" si="6"/>
        <v>1644.3277390434066</v>
      </c>
      <c r="M79" s="88">
        <f>IF(OR($B80=""),"",IF(Cáratula!$G$40="Físico",10,0))</f>
        <v>0</v>
      </c>
      <c r="N79" s="84"/>
      <c r="O79" s="84"/>
      <c r="P79" s="88">
        <f t="shared" si="7"/>
        <v>1644.3277390434066</v>
      </c>
    </row>
    <row r="80" spans="2:16" x14ac:dyDescent="0.3">
      <c r="B80" s="92">
        <f>IF($B79=Cáratula!$G$35,$B$21,IF(OR($B79="",$B79=$B$21),"",$B79+1))</f>
        <v>58</v>
      </c>
      <c r="C80" s="77">
        <f>IF(OR($B81=""),$B81,IF(DAY(EOMONTH($C79,1))&lt;Cáratula!$D$69,EOMONTH($C79,1),DATE(YEAR(EOMONTH($C79,1)),MONTH(EOMONTH($C79,1)),Cáratula!$D$69)))</f>
        <v>47953</v>
      </c>
      <c r="D80" s="76">
        <f>IF(OR($B81=""),"",$C80-Cáratula!$G$38)</f>
        <v>1735</v>
      </c>
      <c r="E80" s="76">
        <f t="shared" si="9"/>
        <v>31</v>
      </c>
      <c r="F80" s="79">
        <f t="shared" si="8"/>
        <v>24061.857112293739</v>
      </c>
      <c r="G80" s="79">
        <f t="shared" si="3"/>
        <v>22630.507591999594</v>
      </c>
      <c r="H80" s="80">
        <f>IF(OR($B81=""),$B81,(Cáratula!$K$39/365*E80))</f>
        <v>9.0179211092386094E-3</v>
      </c>
      <c r="I80" s="79">
        <f t="shared" si="4"/>
        <v>204.08013212667774</v>
      </c>
      <c r="J80" s="82">
        <f>IF(OR($B81=""),"",IF(C78="",Cáratula!$P$40*E80*G79,Cáratula!$P$40*E80*G80))</f>
        <v>17.690484789533404</v>
      </c>
      <c r="K80" s="82">
        <f t="shared" si="5"/>
        <v>1422.5571221271955</v>
      </c>
      <c r="L80" s="82">
        <f t="shared" si="6"/>
        <v>1644.3277390434066</v>
      </c>
      <c r="M80" s="82">
        <f>IF(OR($B81=""),"",IF(Cáratula!$G$40="Físico",10,0))</f>
        <v>0</v>
      </c>
      <c r="N80" s="76"/>
      <c r="O80" s="76"/>
      <c r="P80" s="82">
        <f t="shared" si="7"/>
        <v>1644.3277390434066</v>
      </c>
    </row>
    <row r="81" spans="2:16" x14ac:dyDescent="0.3">
      <c r="B81" s="91">
        <f>IF($B80=Cáratula!$G$35,$B$21,IF(OR($B80="",$B80=$B$21),"",$B80+1))</f>
        <v>59</v>
      </c>
      <c r="C81" s="85">
        <f>IF(OR($B82=""),$B82,IF(DAY(EOMONTH($C80,1))&lt;Cáratula!$D$69,EOMONTH($C80,1),DATE(YEAR(EOMONTH($C80,1)),MONTH(EOMONTH($C80,1)),Cáratula!$D$69)))</f>
        <v>47983</v>
      </c>
      <c r="D81" s="84">
        <f>IF(OR($B82=""),"",$C81-Cáratula!$G$38)</f>
        <v>1765</v>
      </c>
      <c r="E81" s="84">
        <f t="shared" si="9"/>
        <v>30</v>
      </c>
      <c r="F81" s="86">
        <f t="shared" si="8"/>
        <v>22630.507591999594</v>
      </c>
      <c r="G81" s="86">
        <f t="shared" si="3"/>
        <v>21207.950469872398</v>
      </c>
      <c r="H81" s="87">
        <f>IF(OR($B82=""),$B82,(Cáratula!$K$39/365*E81))</f>
        <v>8.7270204282954289E-3</v>
      </c>
      <c r="I81" s="86">
        <f t="shared" si="4"/>
        <v>185.08221699285406</v>
      </c>
      <c r="J81" s="88">
        <f>IF(OR($B82=""),"",IF(C79="",Cáratula!$P$40*E81*G80,Cáratula!$P$40*E81*G81))</f>
        <v>16.043669270523743</v>
      </c>
      <c r="K81" s="88">
        <f t="shared" si="5"/>
        <v>1443.201852780029</v>
      </c>
      <c r="L81" s="88">
        <f t="shared" si="6"/>
        <v>1644.3277390434066</v>
      </c>
      <c r="M81" s="88">
        <f>IF(OR($B82=""),"",IF(Cáratula!$G$40="Físico",10,0))</f>
        <v>0</v>
      </c>
      <c r="N81" s="84"/>
      <c r="O81" s="84"/>
      <c r="P81" s="88">
        <f t="shared" si="7"/>
        <v>1644.3277390434066</v>
      </c>
    </row>
    <row r="82" spans="2:16" x14ac:dyDescent="0.3">
      <c r="B82" s="92">
        <f>IF($B81=Cáratula!$G$35,$B$21,IF(OR($B81="",$B81=$B$21),"",$B81+1))</f>
        <v>60</v>
      </c>
      <c r="C82" s="77">
        <f>IF(OR($B83=""),$B83,IF(DAY(EOMONTH($C81,1))&lt;Cáratula!$D$69,EOMONTH($C81,1),DATE(YEAR(EOMONTH($C81,1)),MONTH(EOMONTH($C81,1)),Cáratula!$D$69)))</f>
        <v>48014</v>
      </c>
      <c r="D82" s="76">
        <f>IF(OR($B83=""),"",$C82-Cáratula!$G$38)</f>
        <v>1796</v>
      </c>
      <c r="E82" s="76">
        <f t="shared" si="9"/>
        <v>31</v>
      </c>
      <c r="F82" s="79">
        <f t="shared" si="8"/>
        <v>21207.950469872398</v>
      </c>
      <c r="G82" s="79">
        <f t="shared" si="3"/>
        <v>19764.748617092369</v>
      </c>
      <c r="H82" s="80">
        <f>IF(OR($B83=""),$B83,(Cáratula!$K$39/365*E82))</f>
        <v>9.0179211092386094E-3</v>
      </c>
      <c r="I82" s="79">
        <f t="shared" si="4"/>
        <v>178.23694377287188</v>
      </c>
      <c r="J82" s="82">
        <f>IF(OR($B83=""),"",IF(C80="",Cáratula!$P$40*E82*G81,Cáratula!$P$40*E82*G82))</f>
        <v>15.450293518967843</v>
      </c>
      <c r="K82" s="82">
        <f t="shared" si="5"/>
        <v>1450.6405017515669</v>
      </c>
      <c r="L82" s="82">
        <f t="shared" si="6"/>
        <v>1644.3277390434066</v>
      </c>
      <c r="M82" s="82">
        <f>IF(OR($B83=""),"",IF(Cáratula!$G$40="Físico",10,0))</f>
        <v>0</v>
      </c>
      <c r="N82" s="76"/>
      <c r="O82" s="76"/>
      <c r="P82" s="82">
        <f t="shared" si="7"/>
        <v>1644.3277390434066</v>
      </c>
    </row>
    <row r="83" spans="2:16" x14ac:dyDescent="0.3">
      <c r="B83" s="91">
        <f>IF($B82=Cáratula!$G$35,$B$21,IF(OR($B82="",$B82=$B$21),"",$B82+1))</f>
        <v>61</v>
      </c>
      <c r="C83" s="85">
        <f>IF(OR($B84=""),$B84,IF(DAY(EOMONTH($C82,1))&lt;Cáratula!$D$69,EOMONTH($C82,1),DATE(YEAR(EOMONTH($C82,1)),MONTH(EOMONTH($C82,1)),Cáratula!$D$69)))</f>
        <v>48044</v>
      </c>
      <c r="D83" s="84">
        <f>IF(OR($B84=""),"",$C83-Cáratula!$G$38)</f>
        <v>1826</v>
      </c>
      <c r="E83" s="84">
        <f t="shared" si="9"/>
        <v>30</v>
      </c>
      <c r="F83" s="86">
        <f t="shared" si="8"/>
        <v>19764.748617092369</v>
      </c>
      <c r="G83" s="86">
        <f t="shared" si="3"/>
        <v>18314.108115340801</v>
      </c>
      <c r="H83" s="87">
        <f>IF(OR($B84=""),$B84,(Cáratula!$K$39/365*E83))</f>
        <v>8.7270204282954289E-3</v>
      </c>
      <c r="I83" s="86">
        <f t="shared" si="4"/>
        <v>159.82759564859026</v>
      </c>
      <c r="J83" s="88">
        <f>IF(OR($B84=""),"",IF(C81="",Cáratula!$P$40*E83*G82,Cáratula!$P$40*E83*G83))</f>
        <v>13.854497350158635</v>
      </c>
      <c r="K83" s="88">
        <f t="shared" si="5"/>
        <v>1470.6456460446577</v>
      </c>
      <c r="L83" s="88">
        <f t="shared" si="6"/>
        <v>1644.3277390434066</v>
      </c>
      <c r="M83" s="88">
        <f>IF(OR($B84=""),"",IF(Cáratula!$G$40="Físico",10,0))</f>
        <v>0</v>
      </c>
      <c r="N83" s="84"/>
      <c r="O83" s="84"/>
      <c r="P83" s="88">
        <f t="shared" si="7"/>
        <v>1644.3277390434066</v>
      </c>
    </row>
    <row r="84" spans="2:16" x14ac:dyDescent="0.3">
      <c r="B84" s="92">
        <f>IF($B83=Cáratula!$G$35,$B$21,IF(OR($B83="",$B83=$B$21),"",$B83+1))</f>
        <v>62</v>
      </c>
      <c r="C84" s="77">
        <f>IF(OR($B85=""),$B85,IF(DAY(EOMONTH($C83,1))&lt;Cáratula!$D$69,EOMONTH($C83,1),DATE(YEAR(EOMONTH($C83,1)),MONTH(EOMONTH($C83,1)),Cáratula!$D$69)))</f>
        <v>48075</v>
      </c>
      <c r="D84" s="76">
        <f>IF(OR($B85=""),"",$C84-Cáratula!$G$38)</f>
        <v>1857</v>
      </c>
      <c r="E84" s="76">
        <f t="shared" si="9"/>
        <v>31</v>
      </c>
      <c r="F84" s="79">
        <f t="shared" si="8"/>
        <v>18314.108115340801</v>
      </c>
      <c r="G84" s="79">
        <f t="shared" si="3"/>
        <v>16843.462469296144</v>
      </c>
      <c r="H84" s="80">
        <f>IF(OR($B85=""),$B85,(Cáratula!$K$39/365*E84))</f>
        <v>9.0179211092386094E-3</v>
      </c>
      <c r="I84" s="79">
        <f t="shared" si="4"/>
        <v>151.89301575453396</v>
      </c>
      <c r="J84" s="82">
        <f>IF(OR($B85=""),"",IF(C82="",Cáratula!$P$40*E84*G83,Cáratula!$P$40*E84*G84))</f>
        <v>13.166696124902611</v>
      </c>
      <c r="K84" s="82">
        <f t="shared" si="5"/>
        <v>1479.2680271639701</v>
      </c>
      <c r="L84" s="82">
        <f t="shared" si="6"/>
        <v>1644.3277390434066</v>
      </c>
      <c r="M84" s="82">
        <f>IF(OR($B85=""),"",IF(Cáratula!$G$40="Físico",10,0))</f>
        <v>0</v>
      </c>
      <c r="N84" s="76"/>
      <c r="O84" s="76"/>
      <c r="P84" s="82">
        <f t="shared" si="7"/>
        <v>1644.3277390434066</v>
      </c>
    </row>
    <row r="85" spans="2:16" x14ac:dyDescent="0.3">
      <c r="B85" s="91">
        <f>IF($B84=Cáratula!$G$35,$B$21,IF(OR($B84="",$B84=$B$21),"",$B84+1))</f>
        <v>63</v>
      </c>
      <c r="C85" s="85">
        <f>IF(OR($B86=""),$B86,IF(DAY(EOMONTH($C84,1))&lt;Cáratula!$D$69,EOMONTH($C84,1),DATE(YEAR(EOMONTH($C84,1)),MONTH(EOMONTH($C84,1)),Cáratula!$D$69)))</f>
        <v>48106</v>
      </c>
      <c r="D85" s="84">
        <f>IF(OR($B86=""),"",$C85-Cáratula!$G$38)</f>
        <v>1888</v>
      </c>
      <c r="E85" s="84">
        <f t="shared" si="9"/>
        <v>31</v>
      </c>
      <c r="F85" s="86">
        <f t="shared" si="8"/>
        <v>16843.462469296144</v>
      </c>
      <c r="G85" s="86">
        <f t="shared" si="3"/>
        <v>15364.194442132175</v>
      </c>
      <c r="H85" s="87">
        <f>IF(OR($B86=""),$B86,(Cáratula!$K$39/365*E85))</f>
        <v>9.0179211092386094E-3</v>
      </c>
      <c r="I85" s="86">
        <f t="shared" si="4"/>
        <v>138.55309338615027</v>
      </c>
      <c r="J85" s="88">
        <f>IF(OR($B86=""),"",IF(C83="",Cáratula!$P$40*E85*G84,Cáratula!$P$40*E85*G85))</f>
        <v>12.010338123306632</v>
      </c>
      <c r="K85" s="88">
        <f t="shared" si="5"/>
        <v>1493.7643075339497</v>
      </c>
      <c r="L85" s="88">
        <f t="shared" si="6"/>
        <v>1644.3277390434066</v>
      </c>
      <c r="M85" s="88">
        <f>IF(OR($B86=""),"",IF(Cáratula!$G$40="Físico",10,0))</f>
        <v>0</v>
      </c>
      <c r="N85" s="84"/>
      <c r="O85" s="84"/>
      <c r="P85" s="88">
        <f t="shared" si="7"/>
        <v>1644.3277390434066</v>
      </c>
    </row>
    <row r="86" spans="2:16" x14ac:dyDescent="0.3">
      <c r="B86" s="92">
        <f>IF($B85=Cáratula!$G$35,$B$21,IF(OR($B85="",$B85=$B$21),"",$B85+1))</f>
        <v>64</v>
      </c>
      <c r="C86" s="77">
        <f>IF(OR($B87=""),$B87,IF(DAY(EOMONTH($C85,1))&lt;Cáratula!$D$69,EOMONTH($C85,1),DATE(YEAR(EOMONTH($C85,1)),MONTH(EOMONTH($C85,1)),Cáratula!$D$69)))</f>
        <v>48136</v>
      </c>
      <c r="D86" s="76">
        <f>IF(OR($B87=""),"",$C86-Cáratula!$G$38)</f>
        <v>1918</v>
      </c>
      <c r="E86" s="76">
        <f t="shared" si="9"/>
        <v>30</v>
      </c>
      <c r="F86" s="79">
        <f t="shared" si="8"/>
        <v>15364.194442132175</v>
      </c>
      <c r="G86" s="79">
        <f t="shared" si="3"/>
        <v>13870.430134598226</v>
      </c>
      <c r="H86" s="80">
        <f>IF(OR($B87=""),$B87,(Cáratula!$K$39/365*E86))</f>
        <v>8.7270204282954289E-3</v>
      </c>
      <c r="I86" s="79">
        <f t="shared" si="4"/>
        <v>121.04752713388324</v>
      </c>
      <c r="J86" s="82">
        <f>IF(OR($B87=""),"",IF(C84="",Cáratula!$P$40*E86*G85,Cáratula!$P$40*E86*G86))</f>
        <v>10.49288539387743</v>
      </c>
      <c r="K86" s="82">
        <f t="shared" si="5"/>
        <v>1512.7873265156459</v>
      </c>
      <c r="L86" s="82">
        <f t="shared" si="6"/>
        <v>1644.3277390434066</v>
      </c>
      <c r="M86" s="82">
        <f>IF(OR($B87=""),"",IF(Cáratula!$G$40="Físico",10,0))</f>
        <v>0</v>
      </c>
      <c r="N86" s="76"/>
      <c r="O86" s="76"/>
      <c r="P86" s="82">
        <f t="shared" si="7"/>
        <v>1644.3277390434066</v>
      </c>
    </row>
    <row r="87" spans="2:16" x14ac:dyDescent="0.3">
      <c r="B87" s="91">
        <f>IF($B86=Cáratula!$G$35,$B$21,IF(OR($B86="",$B86=$B$21),"",$B86+1))</f>
        <v>65</v>
      </c>
      <c r="C87" s="85">
        <f>IF(OR($B88=""),$B88,IF(DAY(EOMONTH($C86,1))&lt;Cáratula!$D$69,EOMONTH($C86,1),DATE(YEAR(EOMONTH($C86,1)),MONTH(EOMONTH($C86,1)),Cáratula!$D$69)))</f>
        <v>48167</v>
      </c>
      <c r="D87" s="84">
        <f>IF(OR($B88=""),"",$C87-Cáratula!$G$38)</f>
        <v>1949</v>
      </c>
      <c r="E87" s="84">
        <f t="shared" si="9"/>
        <v>31</v>
      </c>
      <c r="F87" s="86">
        <f t="shared" si="8"/>
        <v>13870.430134598226</v>
      </c>
      <c r="G87" s="86">
        <f t="shared" si="3"/>
        <v>12357.642808082579</v>
      </c>
      <c r="H87" s="87">
        <f>IF(OR($B88=""),$B88,(Cáratula!$K$39/365*E87))</f>
        <v>9.0179211092386094E-3</v>
      </c>
      <c r="I87" s="86">
        <f t="shared" si="4"/>
        <v>111.44024793943858</v>
      </c>
      <c r="J87" s="88">
        <f>IF(OR($B88=""),"",IF(C85="",Cáratula!$P$40*E87*G86,Cáratula!$P$40*E87*G87))</f>
        <v>9.6600878810228874</v>
      </c>
      <c r="K87" s="88">
        <f t="shared" si="5"/>
        <v>1523.227403222945</v>
      </c>
      <c r="L87" s="88">
        <f t="shared" si="6"/>
        <v>1644.3277390434066</v>
      </c>
      <c r="M87" s="88">
        <f>IF(OR($B88=""),"",IF(Cáratula!$G$40="Físico",10,0))</f>
        <v>0</v>
      </c>
      <c r="N87" s="84"/>
      <c r="O87" s="84"/>
      <c r="P87" s="88">
        <f t="shared" si="7"/>
        <v>1644.3277390434066</v>
      </c>
    </row>
    <row r="88" spans="2:16" x14ac:dyDescent="0.3">
      <c r="B88" s="92">
        <f>IF($B87=Cáratula!$G$35,$B$21,IF(OR($B87="",$B87=$B$21),"",$B87+1))</f>
        <v>66</v>
      </c>
      <c r="C88" s="77">
        <f>IF(OR($B89=""),$B89,IF(DAY(EOMONTH($C87,1))&lt;Cáratula!$D$69,EOMONTH($C87,1),DATE(YEAR(EOMONTH($C87,1)),MONTH(EOMONTH($C87,1)),Cáratula!$D$69)))</f>
        <v>48197</v>
      </c>
      <c r="D88" s="76">
        <f>IF(OR($B89=""),"",$C88-Cáratula!$G$38)</f>
        <v>1979</v>
      </c>
      <c r="E88" s="76">
        <f t="shared" si="9"/>
        <v>30</v>
      </c>
      <c r="F88" s="79">
        <f t="shared" si="8"/>
        <v>12357.642808082579</v>
      </c>
      <c r="G88" s="79">
        <f t="shared" si="3"/>
        <v>10834.415404859634</v>
      </c>
      <c r="H88" s="80">
        <f>IF(OR($B89=""),$B89,(Cáratula!$K$39/365*E88))</f>
        <v>8.7270204282954289E-3</v>
      </c>
      <c r="I88" s="79">
        <f t="shared" si="4"/>
        <v>94.552164566848717</v>
      </c>
      <c r="J88" s="82">
        <f>IF(OR($B89=""),"",IF(C86="",Cáratula!$P$40*E88*G87,Cáratula!$P$40*E88*G88))</f>
        <v>8.1961610454516212</v>
      </c>
      <c r="K88" s="82">
        <f t="shared" si="5"/>
        <v>1541.5794134311063</v>
      </c>
      <c r="L88" s="82">
        <f t="shared" si="6"/>
        <v>1644.3277390434066</v>
      </c>
      <c r="M88" s="82">
        <f>IF(OR($B89=""),"",IF(Cáratula!$G$40="Físico",10,0))</f>
        <v>0</v>
      </c>
      <c r="N88" s="76"/>
      <c r="O88" s="76"/>
      <c r="P88" s="82">
        <f t="shared" si="7"/>
        <v>1644.3277390434066</v>
      </c>
    </row>
    <row r="89" spans="2:16" x14ac:dyDescent="0.3">
      <c r="B89" s="93">
        <f>IF($B88=Cáratula!$G$35,$B$21,IF(OR($B88="",$B88=$B$21),"",$B88+1))</f>
        <v>67</v>
      </c>
      <c r="C89" s="94">
        <f>IF(OR($B90=""),$B90,IF(DAY(EOMONTH($C88,1))&lt;Cáratula!$D$69,EOMONTH($C88,1),DATE(YEAR(EOMONTH($C88,1)),MONTH(EOMONTH($C88,1)),Cáratula!$D$69)))</f>
        <v>48228</v>
      </c>
      <c r="D89" s="95">
        <f>IF(OR($B90=""),"",$C89-Cáratula!$G$38)</f>
        <v>2010</v>
      </c>
      <c r="E89" s="95">
        <f>IF(OR($B90=""),"",C89-C88)</f>
        <v>31</v>
      </c>
      <c r="F89" s="86">
        <f t="shared" si="8"/>
        <v>10834.415404859634</v>
      </c>
      <c r="G89" s="86">
        <f t="shared" ref="G89:G90" si="10">IF(OR($B90=""),"",F89-K88)</f>
        <v>9292.8359914285284</v>
      </c>
      <c r="H89" s="87">
        <f>IF(OR($B90=""),$B90,(Cáratula!$K$39/365*E89))</f>
        <v>9.0179211092386094E-3</v>
      </c>
      <c r="I89" s="86">
        <f t="shared" ref="I89:I90" si="11">IF(OR($B90=""),$B90,(H89*G89))</f>
        <v>83.802061851795628</v>
      </c>
      <c r="J89" s="88">
        <f>IF(OR($B90=""),"",IF(C87="",Cáratula!$P$40*E89*G88,Cáratula!$P$40*E89*G89))</f>
        <v>7.2642990038858999</v>
      </c>
      <c r="K89" s="88">
        <f t="shared" ref="K89:K90" si="12">IF(OR($B90=""),"",L89-I89-J89)</f>
        <v>1553.2613781877251</v>
      </c>
      <c r="L89" s="88">
        <f t="shared" ref="L89:L95" si="13">IF(OR($B90=""),"",L88)</f>
        <v>1644.3277390434066</v>
      </c>
      <c r="M89" s="88">
        <f>IF(OR($B90=""),"",IF(Cáratula!$G$40="Físico",10,0))</f>
        <v>0</v>
      </c>
      <c r="N89" s="84"/>
      <c r="O89" s="84"/>
      <c r="P89" s="88">
        <f t="shared" si="7"/>
        <v>1644.3277390434066</v>
      </c>
    </row>
    <row r="90" spans="2:16" x14ac:dyDescent="0.3">
      <c r="B90" s="92">
        <f>IF($B89=Cáratula!$G$35,$B$21,IF(OR($B89="",$B89=$B$21),"",$B89+1))</f>
        <v>68</v>
      </c>
      <c r="C90" s="77">
        <f>IF(OR($B91=""),$B91,IF(DAY(EOMONTH($C89,1))&lt;Cáratula!$D$69,EOMONTH($C89,1),DATE(YEAR(EOMONTH($C89,1)),MONTH(EOMONTH($C89,1)),Cáratula!$D$69)))</f>
        <v>48259</v>
      </c>
      <c r="D90" s="76">
        <f>IF(OR($B91=""),"",$C90-Cáratula!$G$38)</f>
        <v>2041</v>
      </c>
      <c r="E90" s="76">
        <f t="shared" ref="E90" si="14">IF(OR($B91=""),"",C90-C89)</f>
        <v>31</v>
      </c>
      <c r="F90" s="79">
        <f t="shared" ref="F90:F91" si="15">IF(OR($B91=""),"",G89)</f>
        <v>9292.8359914285284</v>
      </c>
      <c r="G90" s="79">
        <f t="shared" si="10"/>
        <v>7739.574613240803</v>
      </c>
      <c r="H90" s="80">
        <f>IF(OR($B91=""),$B91,(Cáratula!$K$39/365*E90))</f>
        <v>9.0179211092386094E-3</v>
      </c>
      <c r="I90" s="79">
        <f t="shared" si="11"/>
        <v>69.794873281271478</v>
      </c>
      <c r="J90" s="82">
        <f>IF(OR($B91=""),"",IF(C88="",Cáratula!$P$40*E90*G89,Cáratula!$P$40*E90*G90))</f>
        <v>6.0500996902693664</v>
      </c>
      <c r="K90" s="82">
        <f t="shared" si="12"/>
        <v>1568.4827660718656</v>
      </c>
      <c r="L90" s="82">
        <f t="shared" si="6"/>
        <v>1644.3277390434066</v>
      </c>
      <c r="M90" s="82">
        <f>IF(OR($B91=""),"",IF(Cáratula!$G$40="Físico",10,0))</f>
        <v>0</v>
      </c>
      <c r="N90" s="76"/>
      <c r="O90" s="76"/>
      <c r="P90" s="82">
        <f t="shared" si="7"/>
        <v>1644.3277390434066</v>
      </c>
    </row>
    <row r="91" spans="2:16" x14ac:dyDescent="0.3">
      <c r="B91" s="93">
        <f>IF($B90=Cáratula!$G$35,$B$21,IF(OR($B90="",$B90=$B$21),"",$B90+1))</f>
        <v>69</v>
      </c>
      <c r="C91" s="94">
        <f>IF(OR($B92=""),$B92,IF(DAY(EOMONTH($C90,1))&lt;Cáratula!$D$69,EOMONTH($C90,1),DATE(YEAR(EOMONTH($C90,1)),MONTH(EOMONTH($C90,1)),Cáratula!$D$69)))</f>
        <v>48288</v>
      </c>
      <c r="D91" s="95">
        <f>IF(OR($B92=""),"",$C91-Cáratula!$G$38)</f>
        <v>2070</v>
      </c>
      <c r="E91" s="95">
        <f>IF(OR($B92=""),"",C91-C90)</f>
        <v>29</v>
      </c>
      <c r="F91" s="86">
        <f t="shared" si="15"/>
        <v>7739.574613240803</v>
      </c>
      <c r="G91" s="86">
        <f t="shared" ref="G91" si="16">IF(OR($B92=""),"",F91-K90)</f>
        <v>6171.0918471689374</v>
      </c>
      <c r="H91" s="87">
        <f>IF(OR($B92=""),$B92,(Cáratula!$K$39/365*E91))</f>
        <v>8.4361197473522467E-3</v>
      </c>
      <c r="I91" s="86">
        <f t="shared" ref="I91" si="17">IF(OR($B92=""),$B92,(H91*G91))</f>
        <v>52.060069794626322</v>
      </c>
      <c r="J91" s="88">
        <f>IF(OR($B92=""),"",IF(C89="",Cáratula!$P$40*E91*G90,Cáratula!$P$40*E91*G91))</f>
        <v>4.5127757574765592</v>
      </c>
      <c r="K91" s="88">
        <f t="shared" ref="K91" si="18">IF(OR($B92=""),"",L91-I91-J91)</f>
        <v>1587.7548934913038</v>
      </c>
      <c r="L91" s="88">
        <f t="shared" si="13"/>
        <v>1644.3277390434066</v>
      </c>
      <c r="M91" s="88">
        <f>IF(OR($B92=""),"",IF(Cáratula!$G$40="Físico",10,0))</f>
        <v>0</v>
      </c>
      <c r="N91" s="84"/>
      <c r="O91" s="84"/>
      <c r="P91" s="88">
        <f t="shared" si="7"/>
        <v>1644.3277390434066</v>
      </c>
    </row>
    <row r="92" spans="2:16" x14ac:dyDescent="0.3">
      <c r="B92" s="92">
        <f>IF($B91=Cáratula!$G$35,$B$21,IF(OR($B91="",$B91=$B$21),"",$B91+1))</f>
        <v>70</v>
      </c>
      <c r="C92" s="77">
        <f>IF(OR($B93=""),$B93,IF(DAY(EOMONTH($C91,1))&lt;Cáratula!$D$69,EOMONTH($C91,1),DATE(YEAR(EOMONTH($C91,1)),MONTH(EOMONTH($C91,1)),Cáratula!$D$69)))</f>
        <v>48319</v>
      </c>
      <c r="D92" s="76">
        <f>IF(OR($B93=""),"",$C92-Cáratula!$G$38)</f>
        <v>2101</v>
      </c>
      <c r="E92" s="76">
        <f>IF(OR($B93=""),"",C92-C91)</f>
        <v>31</v>
      </c>
      <c r="F92" s="79">
        <f t="shared" ref="F92" si="19">IF(OR($B93=""),"",G91)</f>
        <v>6171.0918471689374</v>
      </c>
      <c r="G92" s="79">
        <f t="shared" ref="G92" si="20">IF(OR($B93=""),"",F92-K91)</f>
        <v>4583.3369536776336</v>
      </c>
      <c r="H92" s="80">
        <f>IF(OR($B93=""),$B93,(Cáratula!$K$39/365*E92))</f>
        <v>9.0179211092386094E-3</v>
      </c>
      <c r="I92" s="79">
        <f t="shared" ref="I92" si="21">IF(OR($B93=""),$B93,(H92*G92))</f>
        <v>41.332171065322918</v>
      </c>
      <c r="J92" s="82">
        <f>IF(OR($B93=""),"",IF(C90="",Cáratula!$P$40*E92*G91,Cáratula!$P$40*E92*G92))</f>
        <v>3.5828384464962113</v>
      </c>
      <c r="K92" s="82">
        <f t="shared" ref="K92" si="22">IF(OR($B93=""),"",L92-I92-J92)</f>
        <v>1599.4127295315875</v>
      </c>
      <c r="L92" s="82">
        <f t="shared" si="13"/>
        <v>1644.3277390434066</v>
      </c>
      <c r="M92" s="82">
        <f>IF(OR($B93=""),"",IF(Cáratula!$G$40="Físico",10,0))</f>
        <v>0</v>
      </c>
      <c r="N92" s="76"/>
      <c r="O92" s="76"/>
      <c r="P92" s="82">
        <f t="shared" ref="P92:P95" si="23">IF(OR($B93=""),"",O92+N92+M92+L92)</f>
        <v>1644.3277390434066</v>
      </c>
    </row>
    <row r="93" spans="2:16" x14ac:dyDescent="0.3">
      <c r="B93" s="93">
        <f>IF($B92=Cáratula!$G$35,$B$21,IF(OR($B92="",$B92=$B$21),"",$B92+1))</f>
        <v>71</v>
      </c>
      <c r="C93" s="94">
        <f>IF(OR($B94=""),$B94,IF(DAY(EOMONTH($C92,1))&lt;Cáratula!$D$69,EOMONTH($C92,1),DATE(YEAR(EOMONTH($C92,1)),MONTH(EOMONTH($C92,1)),Cáratula!$D$69)))</f>
        <v>48349</v>
      </c>
      <c r="D93" s="95">
        <f>IF(OR($B94=""),"",$C93-Cáratula!$G$38)</f>
        <v>2131</v>
      </c>
      <c r="E93" s="95">
        <f>IF(OR($B94=""),"",C93-C92)</f>
        <v>30</v>
      </c>
      <c r="F93" s="86">
        <f t="shared" ref="F93:F94" si="24">IF(OR($B94=""),"",G92)</f>
        <v>4583.3369536776336</v>
      </c>
      <c r="G93" s="86">
        <f t="shared" ref="G93:G94" si="25">IF(OR($B94=""),"",F93-K92)</f>
        <v>2983.9242241460461</v>
      </c>
      <c r="H93" s="87">
        <f>IF(OR($B94=""),$B94,(Cáratula!$K$39/365*E93))</f>
        <v>8.7270204282954289E-3</v>
      </c>
      <c r="I93" s="86">
        <f t="shared" ref="I93:I94" si="26">IF(OR($B94=""),$B94,(H93*G93))</f>
        <v>26.040767660608132</v>
      </c>
      <c r="J93" s="88">
        <f>IF(OR($B94=""),"",IF(C91="",Cáratula!$P$40*E93*G92,Cáratula!$P$40*E93*G93))</f>
        <v>2.2573182377293319</v>
      </c>
      <c r="K93" s="88">
        <f t="shared" ref="K93:K94" si="27">IF(OR($B94=""),"",L93-I93-J93)</f>
        <v>1616.0296531450692</v>
      </c>
      <c r="L93" s="88">
        <f t="shared" si="13"/>
        <v>1644.3277390434066</v>
      </c>
      <c r="M93" s="88">
        <f>IF(OR($B94=""),"",IF(Cáratula!$G$40="Físico",10,0))</f>
        <v>0</v>
      </c>
      <c r="N93" s="84"/>
      <c r="O93" s="84"/>
      <c r="P93" s="88">
        <f t="shared" si="23"/>
        <v>1644.3277390434066</v>
      </c>
    </row>
    <row r="94" spans="2:16" x14ac:dyDescent="0.3">
      <c r="B94" s="92">
        <f>IF($B93=Cáratula!$G$35,$B$21,IF(OR($B93="",$B93=$B$21),"",$B93+1))</f>
        <v>72</v>
      </c>
      <c r="C94" s="77">
        <f>IF(OR($B95=""),$B95,IF(DAY(EOMONTH($C93,1))&lt;Cáratula!$D$69,EOMONTH($C93,1),DATE(YEAR(EOMONTH($C93,1)),MONTH(EOMONTH($C93,1)),Cáratula!$D$69)))</f>
        <v>48380</v>
      </c>
      <c r="D94" s="76">
        <f>IF(OR($B95=""),"",$C94-Cáratula!$G$38)</f>
        <v>2162</v>
      </c>
      <c r="E94" s="76">
        <f>IF(OR($B95=""),"",C94-C93)</f>
        <v>31</v>
      </c>
      <c r="F94" s="79">
        <f t="shared" si="24"/>
        <v>2983.9242241460461</v>
      </c>
      <c r="G94" s="79">
        <f t="shared" si="25"/>
        <v>1367.8945710009768</v>
      </c>
      <c r="H94" s="80">
        <f>IF(OR($B95=""),$B95,(Cáratula!$K$39/365*E94))</f>
        <v>9.0179211092386094E-3</v>
      </c>
      <c r="I94" s="79">
        <f t="shared" si="26"/>
        <v>12.3355653270426</v>
      </c>
      <c r="J94" s="82">
        <f>IF(OR($B95=""),"",IF(C92="",Cáratula!$P$40*E94*G93,Cáratula!$P$40*E94*G94))</f>
        <v>1.0692963029487197</v>
      </c>
      <c r="K94" s="82">
        <f t="shared" si="27"/>
        <v>1630.9228774134153</v>
      </c>
      <c r="L94" s="82">
        <f t="shared" si="13"/>
        <v>1644.3277390434066</v>
      </c>
      <c r="M94" s="82">
        <f>IF(OR($B95=""),"",IF(Cáratula!$G$40="Físico",10,0))</f>
        <v>0</v>
      </c>
      <c r="N94" s="76"/>
      <c r="O94" s="76"/>
      <c r="P94" s="82">
        <f t="shared" si="23"/>
        <v>1644.3277390434066</v>
      </c>
    </row>
    <row r="95" spans="2:16" x14ac:dyDescent="0.3">
      <c r="B95" s="61">
        <f>IF($B94=Cáratula!$G$35,$B$21,IF(OR($B94="",$B94=$B$21),"",$B94+1))</f>
        <v>0</v>
      </c>
      <c r="C95" s="96" t="str">
        <f>IF(OR($B96=""),$B96,IF(DAY(EOMONTH($C94,1))&lt;Cáratula!$D$69,EOMONTH($C94,1),DATE(YEAR(EOMONTH($C94,1)),MONTH(EOMONTH($C94,1)),Cáratula!$D$69)))</f>
        <v/>
      </c>
      <c r="D95" s="97" t="str">
        <f>IF(OR($B96=""),"",$C95-Cáratula!$G$38)</f>
        <v/>
      </c>
      <c r="E95" s="97" t="str">
        <f>IF(OR($B96=""),"",C95-C94)</f>
        <v/>
      </c>
      <c r="F95" s="97" t="str">
        <f t="shared" ref="F95" si="28">IF(OR($B96=""),"",G94)</f>
        <v/>
      </c>
      <c r="G95" s="60" t="str">
        <f t="shared" ref="G95" si="29">IF(OR($B96=""),"",F95-K94)</f>
        <v/>
      </c>
      <c r="H95" s="60" t="str">
        <f>IF(OR($B96=""),$B96,(Cáratula!$K$39/365*E95))</f>
        <v/>
      </c>
      <c r="I95" s="60" t="str">
        <f t="shared" ref="I95" si="30">IF(OR($B96=""),$B96,(H95*G95))</f>
        <v/>
      </c>
      <c r="J95" s="60" t="str">
        <f>IF(OR($B96=""),"",IF(C93="",Cáratula!$P$40*E95*G94,Cáratula!$P$40*E95*G95))</f>
        <v/>
      </c>
      <c r="K95" s="60" t="str">
        <f t="shared" ref="K95" si="31">IF(OR($B96=""),"",L95-I95-J95)</f>
        <v/>
      </c>
      <c r="L95" s="60" t="str">
        <f t="shared" si="13"/>
        <v/>
      </c>
      <c r="M95" s="60" t="str">
        <f>IF(OR($B96=""),"",IF(Cáratula!$G$40="Físico",10,0))</f>
        <v/>
      </c>
      <c r="P95" s="60" t="str">
        <f t="shared" si="23"/>
        <v/>
      </c>
    </row>
    <row r="96" spans="2:16" x14ac:dyDescent="0.3">
      <c r="B96" s="97" t="str">
        <f>IF($B95=Cáratula!$G$35,$B$21,IF(OR($B95="",$B95=$B$21),"",$B95+1))</f>
        <v/>
      </c>
      <c r="C96" s="96"/>
      <c r="D96" s="97"/>
      <c r="E96" s="97"/>
      <c r="F96" s="97"/>
    </row>
    <row r="97" spans="2:6" x14ac:dyDescent="0.3">
      <c r="B97" s="97"/>
      <c r="C97" s="96"/>
      <c r="D97" s="97"/>
      <c r="E97" s="97"/>
      <c r="F97" s="97"/>
    </row>
    <row r="98" spans="2:6" x14ac:dyDescent="0.3">
      <c r="B98" s="97"/>
      <c r="C98" s="96"/>
      <c r="D98" s="97"/>
      <c r="E98" s="97"/>
      <c r="F98" s="97"/>
    </row>
    <row r="99" spans="2:6" x14ac:dyDescent="0.3">
      <c r="C99" s="98"/>
    </row>
    <row r="100" spans="2:6" x14ac:dyDescent="0.3"/>
  </sheetData>
  <sheetProtection algorithmName="SHA-512" hashValue="4R/6GEHzZtrsFbty6GrEm++73of6Aq4fBaOfhEzFTrH5VbRZs+mllsM33DxJZju9l2u7slSqwgn9QBIk+ThgQQ==" saltValue="fGtVgQGbKoNPn0niYXyUKQ==" spinCount="100000" sheet="1" objects="1" scenarios="1" selectLockedCells="1"/>
  <mergeCells count="2">
    <mergeCell ref="B17:E17"/>
    <mergeCell ref="B8:N8"/>
  </mergeCells>
  <pageMargins left="0.23622047244094491" right="0.23622047244094491" top="0.74803149606299213" bottom="0.74803149606299213" header="0.31496062992125984" footer="0.31496062992125984"/>
  <pageSetup paperSize="9" scale="40" orientation="portrait" r:id="rId1"/>
  <headerFooter>
    <oddFooter>&amp;C_x000D_&amp;1#&amp;"Calibri"&amp;8&amp;K0000FF Datos elaborados por BCP para uso Interno</oddFooter>
  </headerFooter>
  <rowBreaks count="1" manualBreakCount="1">
    <brk id="100" max="16" man="1"/>
  </rowBreaks>
  <ignoredErrors>
    <ignoredError sqref="M24" formula="1"/>
  </ignoredErrors>
  <drawing r:id="rId2"/>
</worksheet>
</file>

<file path=docMetadata/LabelInfo.xml><?xml version="1.0" encoding="utf-8"?>
<clbl:labelList xmlns:clbl="http://schemas.microsoft.com/office/2020/mipLabelMetadata">
  <clbl:label id="{c15ead3b-a842-409e-8059-3e3468c48585}" enabled="1" method="Standard" siteId="{5d93ebcc-f769-4380-8b7e-289fc972da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22</vt:i4>
      </vt:variant>
    </vt:vector>
  </HeadingPairs>
  <TitlesOfParts>
    <vt:vector size="26" baseType="lpstr">
      <vt:lpstr>Base</vt:lpstr>
      <vt:lpstr>Cargos</vt:lpstr>
      <vt:lpstr>Cáratula</vt:lpstr>
      <vt:lpstr>Cronograma</vt:lpstr>
      <vt:lpstr>Cáratula!Área_de_impresión</vt:lpstr>
      <vt:lpstr>Cronograma!Área_de_impresión</vt:lpstr>
      <vt:lpstr>DIRIS_Lima_Centro</vt:lpstr>
      <vt:lpstr>DIRIS_Lima_Norte</vt:lpstr>
      <vt:lpstr>Ejército_del_Perú</vt:lpstr>
      <vt:lpstr>EPSEL</vt:lpstr>
      <vt:lpstr>ESSALUD</vt:lpstr>
      <vt:lpstr>Fuerza_Aerea_del_Perú</vt:lpstr>
      <vt:lpstr>Gobierno_Regional_Loreto</vt:lpstr>
      <vt:lpstr>Hospital_de_apoyo_Iquitos</vt:lpstr>
      <vt:lpstr>Hospital_Regional_Loreto</vt:lpstr>
      <vt:lpstr>Marina_de_Guerra</vt:lpstr>
      <vt:lpstr>Ministerio_Defensa</vt:lpstr>
      <vt:lpstr>ONPE</vt:lpstr>
      <vt:lpstr>Policia_Nacional_del_Perú</vt:lpstr>
      <vt:lpstr>Red_Salud_APLAO</vt:lpstr>
      <vt:lpstr>RENIEC</vt:lpstr>
      <vt:lpstr>SENASA</vt:lpstr>
      <vt:lpstr>U_San_Juan_Bautista</vt:lpstr>
      <vt:lpstr>UE403_Morropon</vt:lpstr>
      <vt:lpstr>UNAP</vt:lpstr>
      <vt:lpstr>UTES_N6</vt:lpstr>
    </vt:vector>
  </TitlesOfParts>
  <Manager/>
  <Company>Banco de Credito del Peru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Meza</dc:creator>
  <cp:keywords/>
  <dc:description/>
  <cp:lastModifiedBy>Mesa de ayuda BN A365</cp:lastModifiedBy>
  <cp:revision/>
  <dcterms:created xsi:type="dcterms:W3CDTF">2025-03-19T13:30:42Z</dcterms:created>
  <dcterms:modified xsi:type="dcterms:W3CDTF">2026-04-16T00:06:04Z</dcterms:modified>
  <cp:category/>
  <cp:contentStatus/>
</cp:coreProperties>
</file>